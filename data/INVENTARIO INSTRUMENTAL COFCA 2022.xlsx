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OFRAGMENTACION" sheetId="1" r:id="rId4"/>
    <sheet state="visible" name="INSUMOS " sheetId="2" r:id="rId5"/>
    <sheet state="visible" name="CATARATA" sheetId="3" r:id="rId6"/>
    <sheet state="visible" name="SOLICITUDES" sheetId="4" r:id="rId7"/>
    <sheet state="visible" name="OCULOPLASTIA " sheetId="5" r:id="rId8"/>
    <sheet state="visible" name="RETINA" sheetId="6" r:id="rId9"/>
    <sheet state="visible" name="ESTRABISMO" sheetId="7" r:id="rId10"/>
    <sheet state="visible" name="GLAUCOMA" sheetId="8" r:id="rId11"/>
    <sheet state="visible" name="PTERIGION" sheetId="9" r:id="rId12"/>
    <sheet state="visible" name="CORNEA" sheetId="10" r:id="rId13"/>
    <sheet state="visible" name="ESPECIALISTAS" sheetId="11" r:id="rId14"/>
    <sheet state="visible" name="OTORRINO" sheetId="12" r:id="rId15"/>
    <sheet state="visible" name="CHALAZION" sheetId="13" r:id="rId16"/>
    <sheet state="visible" name="VIAS LAGRIMALES " sheetId="14" r:id="rId17"/>
    <sheet state="visible" name="FEMTOANILLO" sheetId="15" r:id="rId18"/>
    <sheet state="visible" name="ACCESORIOS" sheetId="16" r:id="rId19"/>
    <sheet state="visible" name="SABANALARGA" sheetId="17" r:id="rId20"/>
    <sheet state="visible" name="SANTA MARTA" sheetId="18" r:id="rId21"/>
    <sheet state="visible" name="VALLEDUPAR" sheetId="19" r:id="rId22"/>
    <sheet state="visible" name="RIOHACHA" sheetId="20" r:id="rId23"/>
    <sheet state="visible" name="REPORTE AVERIADO" sheetId="21" r:id="rId24"/>
    <sheet state="visible" name="INSTAL EXISTENTE " sheetId="22" r:id="rId25"/>
  </sheets>
  <definedNames/>
  <calcPr/>
  <extLst>
    <ext uri="GoogleSheetsCustomDataVersion2">
      <go:sheetsCustomData xmlns:go="http://customooxmlschemas.google.com/" r:id="rId26" roundtripDataChecksum="hdH6f7TDj9jZHCcMQIUaLARGZZzbA8ODxmji+5aTC5A="/>
    </ext>
  </extLst>
</workbook>
</file>

<file path=xl/sharedStrings.xml><?xml version="1.0" encoding="utf-8"?>
<sst xmlns="http://schemas.openxmlformats.org/spreadsheetml/2006/main" count="7661" uniqueCount="2287">
  <si>
    <t>PUNTAS DE FACOFRAGMENTACION</t>
  </si>
  <si>
    <t xml:space="preserve">FECHA ENTREGA </t>
  </si>
  <si>
    <t>PUNTA</t>
  </si>
  <si>
    <t>SEDE</t>
  </si>
  <si>
    <t>EXIXTENCIA</t>
  </si>
  <si>
    <t>SEP-10-22</t>
  </si>
  <si>
    <t>FACOFRAGMENT.</t>
  </si>
  <si>
    <t>BARRANQUILLA</t>
  </si>
  <si>
    <t>VALLEDUPAR</t>
  </si>
  <si>
    <t>SANTA MARTA</t>
  </si>
  <si>
    <t>AGOS- 08-23</t>
  </si>
  <si>
    <t>MARZO 16-24</t>
  </si>
  <si>
    <t>SANTAMARTA</t>
  </si>
  <si>
    <t xml:space="preserve">INVENTARIO INSUMOS </t>
  </si>
  <si>
    <t xml:space="preserve">CLINICA OFTALMOLOGICA DEL CARIBE </t>
  </si>
  <si>
    <t>TIPO DE INSUMO</t>
  </si>
  <si>
    <t xml:space="preserve">MARCA </t>
  </si>
  <si>
    <t>REFERENCIA</t>
  </si>
  <si>
    <t>CANTIDAD</t>
  </si>
  <si>
    <t xml:space="preserve">OBSERVACIONES </t>
  </si>
  <si>
    <t>PUNCH</t>
  </si>
  <si>
    <t>-</t>
  </si>
  <si>
    <t>7.5MM</t>
  </si>
  <si>
    <t>RE</t>
  </si>
  <si>
    <t>TREPANO</t>
  </si>
  <si>
    <t>6.0MM</t>
  </si>
  <si>
    <t>8.0MM</t>
  </si>
  <si>
    <t>6.5MM</t>
  </si>
  <si>
    <t>8.25MM</t>
  </si>
  <si>
    <t>7.0MM</t>
  </si>
  <si>
    <t>8.75MM</t>
  </si>
  <si>
    <t>7.25MM</t>
  </si>
  <si>
    <t>9.0MM</t>
  </si>
  <si>
    <t>NUEVO</t>
  </si>
  <si>
    <t>8.5MM</t>
  </si>
  <si>
    <t>6.75MM</t>
  </si>
  <si>
    <t>NUEVOS</t>
  </si>
  <si>
    <t>7.75MM</t>
  </si>
  <si>
    <t>TOTAL</t>
  </si>
  <si>
    <t xml:space="preserve">ESFERAS </t>
  </si>
  <si>
    <t>#12</t>
  </si>
  <si>
    <t>ESTERILES</t>
  </si>
  <si>
    <t>#16</t>
  </si>
  <si>
    <t>N/E</t>
  </si>
  <si>
    <t>#14</t>
  </si>
  <si>
    <t>#18</t>
  </si>
  <si>
    <t>#22</t>
  </si>
  <si>
    <t>#20</t>
  </si>
  <si>
    <t>CONFORMADOR</t>
  </si>
  <si>
    <t>P</t>
  </si>
  <si>
    <t>M</t>
  </si>
  <si>
    <t>G</t>
  </si>
  <si>
    <t>S</t>
  </si>
  <si>
    <t>L</t>
  </si>
  <si>
    <t>ANILLOS SIMBLEFARO</t>
  </si>
  <si>
    <t>CAMARAS DE PRUEBA</t>
  </si>
  <si>
    <t>INVENTARIO EQUIPOS AVANZADOS DE CATARATA</t>
  </si>
  <si>
    <t>ACCESORIOS DE FACO</t>
  </si>
  <si>
    <t xml:space="preserve">INVENTARIO INSTRUMENTAL </t>
  </si>
  <si>
    <t>INSTRUMENTAL EN OTRA SEDES</t>
  </si>
  <si>
    <t xml:space="preserve">TIPO DE INSTRUMENTAL </t>
  </si>
  <si>
    <t>EQUIPO</t>
  </si>
  <si>
    <t>CIUDAD</t>
  </si>
  <si>
    <t xml:space="preserve">EQUIPO AVANZADO #4 </t>
  </si>
  <si>
    <t>AMARILLO</t>
  </si>
  <si>
    <t>EQUIPO AVANZADO #3   NO TIENE COLOR</t>
  </si>
  <si>
    <t>NO TIENE COLOR</t>
  </si>
  <si>
    <t xml:space="preserve">CATARATA BASICO # 1 </t>
  </si>
  <si>
    <t>MANGO DE BUSTURI</t>
  </si>
  <si>
    <t>HADEO</t>
  </si>
  <si>
    <t>07103-00</t>
  </si>
  <si>
    <t xml:space="preserve">NO TIENE </t>
  </si>
  <si>
    <t>ACC CAJA 2</t>
  </si>
  <si>
    <t xml:space="preserve">CATARATA BASICO #8 </t>
  </si>
  <si>
    <t>PINZA .3</t>
  </si>
  <si>
    <t>KATENA</t>
  </si>
  <si>
    <t>K5-2510</t>
  </si>
  <si>
    <t xml:space="preserve">SOSTENEDOR </t>
  </si>
  <si>
    <t>N/A</t>
  </si>
  <si>
    <t>FACO VIT #1</t>
  </si>
  <si>
    <t>PINZA BIPOLAR</t>
  </si>
  <si>
    <t>K- GERMANY</t>
  </si>
  <si>
    <t>K8-7021</t>
  </si>
  <si>
    <t>ESPATULA DE IRIS</t>
  </si>
  <si>
    <t>CARGE</t>
  </si>
  <si>
    <t>CERCLAJE</t>
  </si>
  <si>
    <t xml:space="preserve">COMPAS DE CASTROVIEJO </t>
  </si>
  <si>
    <t>RUMEX</t>
  </si>
  <si>
    <t>2-010S</t>
  </si>
  <si>
    <t>K3-9000</t>
  </si>
  <si>
    <t>MANIPULADOR</t>
  </si>
  <si>
    <t>TIJERA DE VANNAS</t>
  </si>
  <si>
    <t>RHEIN ESSENTIALS</t>
  </si>
  <si>
    <t>RED-004</t>
  </si>
  <si>
    <t>I/A</t>
  </si>
  <si>
    <t>ULTRA FLOW II</t>
  </si>
  <si>
    <t>TIJERA CENTRAL DE CORNEA</t>
  </si>
  <si>
    <t>K4-2220</t>
  </si>
  <si>
    <t>PRECHOPPER</t>
  </si>
  <si>
    <t>ASICO USA</t>
  </si>
  <si>
    <t>AE-4295</t>
  </si>
  <si>
    <t>ASA DE SNELL</t>
  </si>
  <si>
    <t>K3-4030</t>
  </si>
  <si>
    <t>LLAVE</t>
  </si>
  <si>
    <t>CANULA DE BURATO ASPIRACION</t>
  </si>
  <si>
    <t>K7-5805</t>
  </si>
  <si>
    <t>7-1495</t>
  </si>
  <si>
    <t>CANULA DE BURATO IRRIGACION</t>
  </si>
  <si>
    <t>K7-5836</t>
  </si>
  <si>
    <t>CANULA PARA SUBTENON</t>
  </si>
  <si>
    <t>K7-4007</t>
  </si>
  <si>
    <t xml:space="preserve">MANTENEDOR DE CAMARA </t>
  </si>
  <si>
    <t>ACC NUEVO</t>
  </si>
  <si>
    <t>K3-3150</t>
  </si>
  <si>
    <t xml:space="preserve">EQUIPO AVANZADO #2  </t>
  </si>
  <si>
    <t>PUNTO BLANCO /AMARILLO</t>
  </si>
  <si>
    <t>EQUIPO AVANZADO #1</t>
  </si>
  <si>
    <t>AMARILLO- NARANJA</t>
  </si>
  <si>
    <t>GERMANY</t>
  </si>
  <si>
    <t>05-103-00</t>
  </si>
  <si>
    <t>DIMEDA</t>
  </si>
  <si>
    <t>06.103.00</t>
  </si>
  <si>
    <t>DIVISOR</t>
  </si>
  <si>
    <t>NO TIENE</t>
  </si>
  <si>
    <t>CHOPPER-DIVISOR</t>
  </si>
  <si>
    <t>SPEEDWAY</t>
  </si>
  <si>
    <t>DRISDEL</t>
  </si>
  <si>
    <t>GANCHO BIFURCADO LESTER</t>
  </si>
  <si>
    <t>0331D</t>
  </si>
  <si>
    <t>Morada</t>
  </si>
  <si>
    <t>BECKER</t>
  </si>
  <si>
    <t>BROS MEDICAL</t>
  </si>
  <si>
    <t>01-05-320-2</t>
  </si>
  <si>
    <t>Azul</t>
  </si>
  <si>
    <t>CANULAS 27G</t>
  </si>
  <si>
    <t>CANULA 25G</t>
  </si>
  <si>
    <t>PUNTAS BALANCE</t>
  </si>
  <si>
    <t>PUNTA ULTRACHOPPER</t>
  </si>
  <si>
    <t>PUNTA HIBRIDA</t>
  </si>
  <si>
    <t>EQUIPOS BASICOS Y CATARATA</t>
  </si>
  <si>
    <t xml:space="preserve">EQUIPO CATARATA  #2  </t>
  </si>
  <si>
    <t>BLANCO</t>
  </si>
  <si>
    <t xml:space="preserve">EQUIPO CATARATA #3 VIEJO </t>
  </si>
  <si>
    <t>BLANCO/NEGRO</t>
  </si>
  <si>
    <t>ACC CARTAGENA</t>
  </si>
  <si>
    <t>ACTUALIZADO 22 DE JUNIO DE 2024</t>
  </si>
  <si>
    <t>GANCHO BIFURCADO</t>
  </si>
  <si>
    <t>5-0331</t>
  </si>
  <si>
    <t>PINZA BABY MOSQUITO</t>
  </si>
  <si>
    <t>SOSTENEDOR 2</t>
  </si>
  <si>
    <t>SINSKY</t>
  </si>
  <si>
    <t>MANGO DE BISTURI #3</t>
  </si>
  <si>
    <t>1-020</t>
  </si>
  <si>
    <t>DIVISOR DE NUCLEO</t>
  </si>
  <si>
    <t>MORTA</t>
  </si>
  <si>
    <t>IQUEO</t>
  </si>
  <si>
    <t>I-4</t>
  </si>
  <si>
    <t>TIJERA DE WESTCOTT</t>
  </si>
  <si>
    <t>GANCHO SINSKEY</t>
  </si>
  <si>
    <t>5-032</t>
  </si>
  <si>
    <t>IA</t>
  </si>
  <si>
    <t>PORTAGUJAS FINO CASTROVIEJO</t>
  </si>
  <si>
    <t>8-071T</t>
  </si>
  <si>
    <t xml:space="preserve">BLEFAROSTATO </t>
  </si>
  <si>
    <t>126672SP</t>
  </si>
  <si>
    <t>SOLO HAY 1</t>
  </si>
  <si>
    <t>8-061T</t>
  </si>
  <si>
    <t>BURATO</t>
  </si>
  <si>
    <t>GUSOR</t>
  </si>
  <si>
    <t>HAY 2 (22) Y UNA (21)</t>
  </si>
  <si>
    <t>PORTAGUJAS FUERTE</t>
  </si>
  <si>
    <t>8-093</t>
  </si>
  <si>
    <t>11-044S</t>
  </si>
  <si>
    <t>PINZA RELOJERO</t>
  </si>
  <si>
    <t>S-011S</t>
  </si>
  <si>
    <t>PINZA UTRATA</t>
  </si>
  <si>
    <t>RUMEX - N/A</t>
  </si>
  <si>
    <t>4-033</t>
  </si>
  <si>
    <t>CANUKAS 25G</t>
  </si>
  <si>
    <t>MC PERSON</t>
  </si>
  <si>
    <t>PINZA MC-PHERSON</t>
  </si>
  <si>
    <t>KATENA - N/A</t>
  </si>
  <si>
    <t>K55010 - N/A</t>
  </si>
  <si>
    <t>PUNTA DE ULTRA</t>
  </si>
  <si>
    <t>11-015S</t>
  </si>
  <si>
    <t xml:space="preserve">ESPATULA </t>
  </si>
  <si>
    <t>GRISESHABER</t>
  </si>
  <si>
    <t>G36-3601</t>
  </si>
  <si>
    <t>4-174</t>
  </si>
  <si>
    <t>PORTAGUJAS CASTROVIEJO</t>
  </si>
  <si>
    <t xml:space="preserve">RUMEX - RUMEX </t>
  </si>
  <si>
    <t>8-071T - 8-090T</t>
  </si>
  <si>
    <t>PUNTA BALANCE</t>
  </si>
  <si>
    <t>4-06075</t>
  </si>
  <si>
    <t xml:space="preserve">N/A - RUMEX </t>
  </si>
  <si>
    <t>N/A - 11-011S</t>
  </si>
  <si>
    <t>PINZA .5</t>
  </si>
  <si>
    <t>STORZ</t>
  </si>
  <si>
    <t>E1792</t>
  </si>
  <si>
    <t>PINZA .12</t>
  </si>
  <si>
    <t>4-0600T</t>
  </si>
  <si>
    <t xml:space="preserve">GANCHO DE KUGLEN </t>
  </si>
  <si>
    <t>4-0551D</t>
  </si>
  <si>
    <t xml:space="preserve">MANIPULADOR </t>
  </si>
  <si>
    <t>PINZA .12 COLIBRI</t>
  </si>
  <si>
    <t>WECK</t>
  </si>
  <si>
    <t>UTRATA</t>
  </si>
  <si>
    <t>4-0331D</t>
  </si>
  <si>
    <t>4-060</t>
  </si>
  <si>
    <t>K5-5086</t>
  </si>
  <si>
    <t>ACC. FACO  #2</t>
  </si>
  <si>
    <t>SPEEDWA</t>
  </si>
  <si>
    <t>NO ESTA</t>
  </si>
  <si>
    <t>MANGO BISTURI # 3</t>
  </si>
  <si>
    <t>TIJERA DE VANNAS CURVA</t>
  </si>
  <si>
    <t>STEPHENS</t>
  </si>
  <si>
    <t>CHOPPER</t>
  </si>
  <si>
    <t>7-072</t>
  </si>
  <si>
    <t xml:space="preserve">TIJERA DE VANNAS </t>
  </si>
  <si>
    <t>11052S</t>
  </si>
  <si>
    <t>KIRWAN</t>
  </si>
  <si>
    <t>10-3200NS</t>
  </si>
  <si>
    <t>ALCON</t>
  </si>
  <si>
    <t>PRE-CHOPPER</t>
  </si>
  <si>
    <t>RUMEX - EPSILON</t>
  </si>
  <si>
    <t xml:space="preserve"> </t>
  </si>
  <si>
    <t>17-149S</t>
  </si>
  <si>
    <t>COMPAS</t>
  </si>
  <si>
    <t>E-2404</t>
  </si>
  <si>
    <t xml:space="preserve">LLAVES </t>
  </si>
  <si>
    <t xml:space="preserve"> BURATO ASPIRACIÓN</t>
  </si>
  <si>
    <t>PINZA MOSQUITO RECTA</t>
  </si>
  <si>
    <t>STAINLESS</t>
  </si>
  <si>
    <t>12.210.10</t>
  </si>
  <si>
    <t xml:space="preserve">RUMEX </t>
  </si>
  <si>
    <t>BURATO IRRIGACIÓN</t>
  </si>
  <si>
    <t>TIJERA DE MATERIAL</t>
  </si>
  <si>
    <t>HOOSPITAL</t>
  </si>
  <si>
    <t>CANULAS 24G</t>
  </si>
  <si>
    <t>PLATEADO</t>
  </si>
  <si>
    <t>DAÑADO</t>
  </si>
  <si>
    <t>CANULAS HIDRODISECCIÓN 25</t>
  </si>
  <si>
    <t>PROFESIONA</t>
  </si>
  <si>
    <t>PAB-210.14</t>
  </si>
  <si>
    <t>CANULAS HIDRODISECCIÓN 27</t>
  </si>
  <si>
    <t>13-1100</t>
  </si>
  <si>
    <t>DRISDALE</t>
  </si>
  <si>
    <t>ESPATULA DOBLE</t>
  </si>
  <si>
    <t>13-032</t>
  </si>
  <si>
    <t>MANGO DE QUISTITIMO</t>
  </si>
  <si>
    <t>TUBO PORTA QUISTITOMO</t>
  </si>
  <si>
    <t>CATARATA CARTAGENA ·1</t>
  </si>
  <si>
    <t>MANGO DE BISTURI#3</t>
  </si>
  <si>
    <t>CARGET</t>
  </si>
  <si>
    <t>BLEFAROS COLIBRI</t>
  </si>
  <si>
    <t>ASA</t>
  </si>
  <si>
    <t xml:space="preserve">TOTAL </t>
  </si>
  <si>
    <t>GANCHO ROTADOR</t>
  </si>
  <si>
    <t>ACCESORIO CATARATA</t>
  </si>
  <si>
    <t>GARGET</t>
  </si>
  <si>
    <t>SOSTENEDOR DE NUCLEO</t>
  </si>
  <si>
    <t xml:space="preserve">EQUIPOS BASICOS ORGANIZADOS ACTUALMENTE </t>
  </si>
  <si>
    <t>PORTA AGUJA CASTRO VIEJO</t>
  </si>
  <si>
    <t>8-0</t>
  </si>
  <si>
    <t xml:space="preserve">EQUIPO CATARATA BASICO </t>
  </si>
  <si>
    <t>PINZZA RELOJERO</t>
  </si>
  <si>
    <t>-INOX</t>
  </si>
  <si>
    <t>KUGLAND</t>
  </si>
  <si>
    <t>BLEFAROSTATO LANCASTER</t>
  </si>
  <si>
    <t>PINZA ULTRATA</t>
  </si>
  <si>
    <t>4-</t>
  </si>
  <si>
    <t>CANULA IA ULTRAFLOW</t>
  </si>
  <si>
    <t xml:space="preserve">CANULAS 25G </t>
  </si>
  <si>
    <t>PRECHOPER ESCAF</t>
  </si>
  <si>
    <t xml:space="preserve">PINZA BIPOLAR </t>
  </si>
  <si>
    <t>BURATOS</t>
  </si>
  <si>
    <t>UTILITI ANUDADORA</t>
  </si>
  <si>
    <t>EQUIPO CATARATA BASICO #1 + ACCESORIO</t>
  </si>
  <si>
    <t xml:space="preserve">ROSA/NEGRO </t>
  </si>
  <si>
    <t>BLEFAROSTATO DE COLIBRI</t>
  </si>
  <si>
    <t>K1-5672</t>
  </si>
  <si>
    <t>COMPAS DE CASTRO VIEJO</t>
  </si>
  <si>
    <t>CANULA SUBTENON</t>
  </si>
  <si>
    <t>PRECHOPPER ESCAF</t>
  </si>
  <si>
    <t>14-080LA</t>
  </si>
  <si>
    <t>RHEIN</t>
  </si>
  <si>
    <t>RED-002</t>
  </si>
  <si>
    <t>ESPATULA</t>
  </si>
  <si>
    <t>K4-3100</t>
  </si>
  <si>
    <t>EPSILON</t>
  </si>
  <si>
    <t>EN-08</t>
  </si>
  <si>
    <t>PUNTAS DE FACO Y ULTRACHOPPER</t>
  </si>
  <si>
    <t>7-149S</t>
  </si>
  <si>
    <t>ENDOCOAGULADOR AZUL</t>
  </si>
  <si>
    <t xml:space="preserve">CANULAS </t>
  </si>
  <si>
    <t>K5-5010</t>
  </si>
  <si>
    <t>GANCHO BECHERT</t>
  </si>
  <si>
    <t>GANCHO KUGLEND IRIS HOOK</t>
  </si>
  <si>
    <t>E1796</t>
  </si>
  <si>
    <t>SIN DIENTES</t>
  </si>
  <si>
    <t>4-058S</t>
  </si>
  <si>
    <t xml:space="preserve">GANCHO LESTER BIFURCADO </t>
  </si>
  <si>
    <t>S51601</t>
  </si>
  <si>
    <t>MC-PHERSON</t>
  </si>
  <si>
    <t>K5-5081</t>
  </si>
  <si>
    <t>REC-022</t>
  </si>
  <si>
    <t>LLAVES</t>
  </si>
  <si>
    <t>REC-020</t>
  </si>
  <si>
    <t>TIJERA WESCOT</t>
  </si>
  <si>
    <t>1S</t>
  </si>
  <si>
    <t>MANIPULADORES</t>
  </si>
  <si>
    <t>SOSTENEDOR</t>
  </si>
  <si>
    <t>5-034</t>
  </si>
  <si>
    <t>EQUIPOS BASICOS ORGANIZADOS INICIALMENTE</t>
  </si>
  <si>
    <t>7-093D</t>
  </si>
  <si>
    <t>EQUIPO CATARATA BASICO #2</t>
  </si>
  <si>
    <t>ROJO/ NARANJA</t>
  </si>
  <si>
    <t>EQUIPO CARTAGENA #2</t>
  </si>
  <si>
    <t>Mango de bisturi 3</t>
  </si>
  <si>
    <t>Carge</t>
  </si>
  <si>
    <t>REF-002</t>
  </si>
  <si>
    <t>Mosquito recta</t>
  </si>
  <si>
    <t>Sin agarre</t>
  </si>
  <si>
    <t>Asa</t>
  </si>
  <si>
    <t xml:space="preserve">Bifurcado </t>
  </si>
  <si>
    <t>K5-2500</t>
  </si>
  <si>
    <t>REPARACION/ SE REEMPLAZA XRUMEX 4-0551T</t>
  </si>
  <si>
    <t>Kuglan</t>
  </si>
  <si>
    <t>4-032S</t>
  </si>
  <si>
    <t>Sinsky</t>
  </si>
  <si>
    <t xml:space="preserve">Porta agujas fino </t>
  </si>
  <si>
    <t>Porta agujas fuerte</t>
  </si>
  <si>
    <t>8-092</t>
  </si>
  <si>
    <t>EQUIPO CATARATA BASICO #2 + ACCESORIO</t>
  </si>
  <si>
    <t>NARANJA/ AMARILLO</t>
  </si>
  <si>
    <t>Tijera de wescot</t>
  </si>
  <si>
    <t xml:space="preserve">MORIA - SPEEDWEY </t>
  </si>
  <si>
    <t>Pinza punto 12</t>
  </si>
  <si>
    <t xml:space="preserve">KATENA </t>
  </si>
  <si>
    <t>K5-2020</t>
  </si>
  <si>
    <t>Pinza Mcpherson</t>
  </si>
  <si>
    <t>K6-3310</t>
  </si>
  <si>
    <t>Pinza punto 3</t>
  </si>
  <si>
    <t>STOTZ USA</t>
  </si>
  <si>
    <t>8-040</t>
  </si>
  <si>
    <t>Pinza relojero</t>
  </si>
  <si>
    <t>SPEEDWEY</t>
  </si>
  <si>
    <t>Pinza utrata</t>
  </si>
  <si>
    <t>ASICO - CARGE</t>
  </si>
  <si>
    <t>Pinza bipolar</t>
  </si>
  <si>
    <t>marcadores de radio 16-4m/m</t>
  </si>
  <si>
    <t>4-0</t>
  </si>
  <si>
    <t>Tijera central de cornea</t>
  </si>
  <si>
    <t>664-8500</t>
  </si>
  <si>
    <t>Tijera de material</t>
  </si>
  <si>
    <t xml:space="preserve">EQUIPO CATARATA BASICO #3 </t>
  </si>
  <si>
    <t>ROJO/ AMARILLO</t>
  </si>
  <si>
    <t>BROSS MEDICAL</t>
  </si>
  <si>
    <t>GUAJIRA #1</t>
  </si>
  <si>
    <t>DR ESCAFF</t>
  </si>
  <si>
    <t>O4O</t>
  </si>
  <si>
    <t xml:space="preserve">BIFURCADO </t>
  </si>
  <si>
    <t>G22 - G21</t>
  </si>
  <si>
    <t xml:space="preserve">CANULAS 27G </t>
  </si>
  <si>
    <t>COMPAS CASTROVIEJO</t>
  </si>
  <si>
    <t xml:space="preserve"> PINZA ANUDADORA RECTA</t>
  </si>
  <si>
    <t>PINZA MOSQUITO</t>
  </si>
  <si>
    <t>TIJERA FINA</t>
  </si>
  <si>
    <t xml:space="preserve">PUNTA ULTRA </t>
  </si>
  <si>
    <t>PINZA MC PERSON</t>
  </si>
  <si>
    <t xml:space="preserve">PORTA-AGUJAS </t>
  </si>
  <si>
    <t xml:space="preserve">WECK </t>
  </si>
  <si>
    <t>EQUIPO CATARATA BASICO #4</t>
  </si>
  <si>
    <t>NARANJA</t>
  </si>
  <si>
    <t>PORTA-AGUJAS FINO</t>
  </si>
  <si>
    <t xml:space="preserve">TIJERA DE MATERIAL </t>
  </si>
  <si>
    <t>PINZA BIPOLAR NEGRA</t>
  </si>
  <si>
    <t>K6-3610</t>
  </si>
  <si>
    <t>GARGE</t>
  </si>
  <si>
    <t>EQUIPO CATARATA BASICO #3 + ACCESORIO</t>
  </si>
  <si>
    <t xml:space="preserve"> ROJO/ NARANJA</t>
  </si>
  <si>
    <t>CANULA SIMCOE #6</t>
  </si>
  <si>
    <t>8-090T</t>
  </si>
  <si>
    <t>GUAJIRA #2</t>
  </si>
  <si>
    <t xml:space="preserve">EQUIPO CATARATA BASICO #5 </t>
  </si>
  <si>
    <t>(SE DAÑO 1, HABIAN 2)</t>
  </si>
  <si>
    <t>PINZA KELLY</t>
  </si>
  <si>
    <t>I-4040</t>
  </si>
  <si>
    <t xml:space="preserve">PORTA-AGUJAS FUERTE </t>
  </si>
  <si>
    <t>TIJERA WESCOT AZUL</t>
  </si>
  <si>
    <t>TIJERA WESCOT PLATEADA</t>
  </si>
  <si>
    <t>11-040S</t>
  </si>
  <si>
    <t>EQUIPO CATARATA BASICO #4 + ACCESORIO</t>
  </si>
  <si>
    <t xml:space="preserve">NEGRO/NARRANJA </t>
  </si>
  <si>
    <t>13-031</t>
  </si>
  <si>
    <t>BASICO CATARATA #6</t>
  </si>
  <si>
    <t>RHEIN/ N/A</t>
  </si>
  <si>
    <t>RED-002/ N/A</t>
  </si>
  <si>
    <t xml:space="preserve">UNO NO TIENE MARCA </t>
  </si>
  <si>
    <t>MAC PERSON</t>
  </si>
  <si>
    <t>K550.10</t>
  </si>
  <si>
    <t>k6-3310</t>
  </si>
  <si>
    <t>PINZA PUNTO 12</t>
  </si>
  <si>
    <t>SE REEMPLAZA POR .12 RUMEX 4-0600T</t>
  </si>
  <si>
    <t>4-032</t>
  </si>
  <si>
    <t>PRECHOPER</t>
  </si>
  <si>
    <t>BIFURCADO</t>
  </si>
  <si>
    <t>KUGLAN</t>
  </si>
  <si>
    <t>EC-022</t>
  </si>
  <si>
    <t>SINSKI</t>
  </si>
  <si>
    <t>EC-020</t>
  </si>
  <si>
    <t>BEKER</t>
  </si>
  <si>
    <t>BLEFARO</t>
  </si>
  <si>
    <t>K15672</t>
  </si>
  <si>
    <t>CANULA 25 G</t>
  </si>
  <si>
    <t xml:space="preserve">EQUIPO CATARATA BASICO #7 </t>
  </si>
  <si>
    <t>NARANJA/BLANCO PUNTO AMARILLO</t>
  </si>
  <si>
    <t>ESTA EN REPARACION</t>
  </si>
  <si>
    <t xml:space="preserve">EQUIPO CATARATA BASICO #9 </t>
  </si>
  <si>
    <t>ROJO/ BLANCO PUNTO ROJO</t>
  </si>
  <si>
    <t>ESTA EN REPARACION- SE ANEXA PROVISIONAL</t>
  </si>
  <si>
    <t>CLINICA OFTALMOLOGICA DEL CARIBE  NEGRO Y ROJO</t>
  </si>
  <si>
    <t>OCULOPLASTIA  #2</t>
  </si>
  <si>
    <t xml:space="preserve">AZUL Y NARANJA </t>
  </si>
  <si>
    <t>OCULOPLASTIA  #3</t>
  </si>
  <si>
    <t>PUNTO 12</t>
  </si>
  <si>
    <t>PUNTO 3</t>
  </si>
  <si>
    <t>4-0601T</t>
  </si>
  <si>
    <t>DISECTOR DE FREE</t>
  </si>
  <si>
    <t>16-139</t>
  </si>
  <si>
    <t>11-042S</t>
  </si>
  <si>
    <t>SONDA DE BOWMAN 1-2</t>
  </si>
  <si>
    <t>9-012S</t>
  </si>
  <si>
    <t>SEPARADOR DE DESMARRES</t>
  </si>
  <si>
    <t>SONDA DE BOWMAN 0-00</t>
  </si>
  <si>
    <t>9-011S</t>
  </si>
  <si>
    <t>SEPARADOR DE GARRA</t>
  </si>
  <si>
    <t xml:space="preserve">RE </t>
  </si>
  <si>
    <t>RED -002</t>
  </si>
  <si>
    <t>BLEFAROSTATO  LANCASTER</t>
  </si>
  <si>
    <t>14-045T</t>
  </si>
  <si>
    <t xml:space="preserve">GERMANY </t>
  </si>
  <si>
    <t>34-275-13</t>
  </si>
  <si>
    <t>TIJERA DE STEVENS</t>
  </si>
  <si>
    <t>E3585</t>
  </si>
  <si>
    <t>PINZA KERRINSON MEDIANA</t>
  </si>
  <si>
    <t>16-136</t>
  </si>
  <si>
    <t>Disector de free</t>
  </si>
  <si>
    <t>14045T</t>
  </si>
  <si>
    <t xml:space="preserve">PINZA DISECCION SIN GARRA </t>
  </si>
  <si>
    <t>10-014</t>
  </si>
  <si>
    <t>Pinza puterman</t>
  </si>
  <si>
    <t>PLACA DE JAGER</t>
  </si>
  <si>
    <t>16-505</t>
  </si>
  <si>
    <t>16-50T</t>
  </si>
  <si>
    <t>CLAN DE PUTTERMAN</t>
  </si>
  <si>
    <t>4-1405</t>
  </si>
  <si>
    <t xml:space="preserve">Pza diseccion con garra </t>
  </si>
  <si>
    <t>g-51-4150</t>
  </si>
  <si>
    <t>PORTA AGUJA DE CASTRO VIEJO</t>
  </si>
  <si>
    <t>06-103-00</t>
  </si>
  <si>
    <t>PINZA BICHOHARTMAN</t>
  </si>
  <si>
    <t>4-073T</t>
  </si>
  <si>
    <t xml:space="preserve">ANEXADO </t>
  </si>
  <si>
    <t>9-0135</t>
  </si>
  <si>
    <t>SONDA DE BOWMAN 3-4</t>
  </si>
  <si>
    <t>9-013</t>
  </si>
  <si>
    <t>SONDA DE BOWMAN 0-0</t>
  </si>
  <si>
    <t>9-0115</t>
  </si>
  <si>
    <t xml:space="preserve">PINZA .3 </t>
  </si>
  <si>
    <t>VALVA PEQUEÑA</t>
  </si>
  <si>
    <t>18-168-12</t>
  </si>
  <si>
    <t>PINZA KELLY RECTA</t>
  </si>
  <si>
    <t>12.220.12</t>
  </si>
  <si>
    <t>PZA. DISECCION C/GARRA</t>
  </si>
  <si>
    <t>10.180.12</t>
  </si>
  <si>
    <t xml:space="preserve"> 2 PINZAS MOSQUITOS </t>
  </si>
  <si>
    <t>4-1121</t>
  </si>
  <si>
    <t>11-101</t>
  </si>
  <si>
    <t xml:space="preserve">PINZA BICHOHARTMAN SIN GARRA </t>
  </si>
  <si>
    <t>GANCHO DE MUSCULO</t>
  </si>
  <si>
    <t>E5863</t>
  </si>
  <si>
    <t xml:space="preserve">KELLY MOSQUITO CURVA </t>
  </si>
  <si>
    <t>BH 105</t>
  </si>
  <si>
    <t>OCULOPLASTIA  #1</t>
  </si>
  <si>
    <t>BEIGE Y ROJO</t>
  </si>
  <si>
    <t>OCULOPLASTIA  #4</t>
  </si>
  <si>
    <t>ROJO AMARILLO</t>
  </si>
  <si>
    <t>TIJERA de wescott</t>
  </si>
  <si>
    <t>ESTA QUEBRADA</t>
  </si>
  <si>
    <t xml:space="preserve">BLEFAROSTATO  </t>
  </si>
  <si>
    <t>GUSO</t>
  </si>
  <si>
    <t>G7-32002</t>
  </si>
  <si>
    <t>NO HAY</t>
  </si>
  <si>
    <t xml:space="preserve">GANCHO DE MUSCULO </t>
  </si>
  <si>
    <t>E-592</t>
  </si>
  <si>
    <t>ANEXADOS A #2</t>
  </si>
  <si>
    <t>9-010S</t>
  </si>
  <si>
    <t>E-593</t>
  </si>
  <si>
    <t>041N1</t>
  </si>
  <si>
    <t>NO SE ENCONTRO</t>
  </si>
  <si>
    <t>10-020</t>
  </si>
  <si>
    <t>STORX</t>
  </si>
  <si>
    <t>E586</t>
  </si>
  <si>
    <t>14-0455</t>
  </si>
  <si>
    <t>GANCHOO DE PIEL</t>
  </si>
  <si>
    <t>GANCHO DE PIEL DOBLE</t>
  </si>
  <si>
    <t>CUCHARILLA DOBLE PATON</t>
  </si>
  <si>
    <t>STAILLON</t>
  </si>
  <si>
    <t>ST 1144</t>
  </si>
  <si>
    <t xml:space="preserve">PASA HILO </t>
  </si>
  <si>
    <t>MANGO BISTURI #3</t>
  </si>
  <si>
    <t>8-090</t>
  </si>
  <si>
    <t>LENGUA DE GATO</t>
  </si>
  <si>
    <t>PINZA KELLY CURVA</t>
  </si>
  <si>
    <t>12.211.10</t>
  </si>
  <si>
    <t>PINZA KELLY MOSQUITO</t>
  </si>
  <si>
    <t xml:space="preserve">COMPAS </t>
  </si>
  <si>
    <t>3-900</t>
  </si>
  <si>
    <t>DISECCION ADSON CON GARRA</t>
  </si>
  <si>
    <t>SKLAR</t>
  </si>
  <si>
    <t>50-3047</t>
  </si>
  <si>
    <t xml:space="preserve">PINZA .5 </t>
  </si>
  <si>
    <t>4-0602S</t>
  </si>
  <si>
    <t>PINZA SIN GARRA</t>
  </si>
  <si>
    <t>PINZA BICHOHARTMAN CON GARRA</t>
  </si>
  <si>
    <t>DISECCION ADSON SIN  GARRA PEQ AZUL</t>
  </si>
  <si>
    <t>PINZA DE DISCECCION ADSON S/G</t>
  </si>
  <si>
    <t>TIJERA DE STEVENS CURVA</t>
  </si>
  <si>
    <t>5-041</t>
  </si>
  <si>
    <t>DISECCION ADSON SIN  GARRA</t>
  </si>
  <si>
    <t>4-073</t>
  </si>
  <si>
    <t>TIJERA DE STEVENS RECTA</t>
  </si>
  <si>
    <t>GUSORZ</t>
  </si>
  <si>
    <t>G64-32</t>
  </si>
  <si>
    <t xml:space="preserve">REGLA METALICA </t>
  </si>
  <si>
    <t>CLANES DE BULDOG</t>
  </si>
  <si>
    <t xml:space="preserve">NO HAY </t>
  </si>
  <si>
    <t>12.221.12</t>
  </si>
  <si>
    <t>PH-13.22</t>
  </si>
  <si>
    <t>BH111</t>
  </si>
  <si>
    <t xml:space="preserve">PINZA BIPÒLAR </t>
  </si>
  <si>
    <t>VALVA</t>
  </si>
  <si>
    <t>COMPAS CASTRO VIEJO</t>
  </si>
  <si>
    <t xml:space="preserve">TIJERA DE STEVEN RECTA </t>
  </si>
  <si>
    <t>TIJERA DE STEVEN CURVA</t>
  </si>
  <si>
    <t>SERAFINES</t>
  </si>
  <si>
    <t xml:space="preserve">JADEO </t>
  </si>
  <si>
    <t xml:space="preserve">TIJERAS STEVEN </t>
  </si>
  <si>
    <t>PUTTERMAN</t>
  </si>
  <si>
    <t>PINZA PUNTO 5</t>
  </si>
  <si>
    <t>E1798</t>
  </si>
  <si>
    <t>DILATADOR</t>
  </si>
  <si>
    <t>CANULA DE FRAISER #8</t>
  </si>
  <si>
    <t xml:space="preserve">19-10-2023 SE ANEXA A OCULOPLASTIA #1 MARCADO CON COLOR VERDE                                            </t>
  </si>
  <si>
    <t>PORTAGUJAS</t>
  </si>
  <si>
    <t>DELOALTO</t>
  </si>
  <si>
    <t>TIJERA STEVEN DE ENUCLEACCION</t>
  </si>
  <si>
    <t>TIJERA STEVEN</t>
  </si>
  <si>
    <t>08.361.11</t>
  </si>
  <si>
    <t>FACO VIT #4</t>
  </si>
  <si>
    <t xml:space="preserve">BLANCO  PUNTOS AMARILLOS </t>
  </si>
  <si>
    <t>ACCESORIO RETINA</t>
  </si>
  <si>
    <t xml:space="preserve">ROSADO </t>
  </si>
  <si>
    <t>4032S</t>
  </si>
  <si>
    <t>GANCHO KUGLAN</t>
  </si>
  <si>
    <t>REC 022</t>
  </si>
  <si>
    <t xml:space="preserve">CHOPPER </t>
  </si>
  <si>
    <t>BLEFAROSTATO DE JAFFER</t>
  </si>
  <si>
    <t>BLEFAROSTATO DE SELTZER</t>
  </si>
  <si>
    <t>7-141S</t>
  </si>
  <si>
    <t>PORTA AGUJA BARRAQUER</t>
  </si>
  <si>
    <t>TIJERA WESCOTT</t>
  </si>
  <si>
    <t>GANCHO INVERTIDO</t>
  </si>
  <si>
    <t>S4900</t>
  </si>
  <si>
    <t>RS-020</t>
  </si>
  <si>
    <t>GANCHO LESTER</t>
  </si>
  <si>
    <t xml:space="preserve">MANIPULADOR DOBLE </t>
  </si>
  <si>
    <t>EP-68K</t>
  </si>
  <si>
    <t>PINZA MCPHERSON</t>
  </si>
  <si>
    <t>K5-510</t>
  </si>
  <si>
    <t>GANCHO BECKERT</t>
  </si>
  <si>
    <t>PINZA DE ANUDAR RECTA</t>
  </si>
  <si>
    <t>K55220</t>
  </si>
  <si>
    <t>PINZA DE ANUDAR CURVA</t>
  </si>
  <si>
    <t>K5-5230</t>
  </si>
  <si>
    <t>PINZA BONACOLTO</t>
  </si>
  <si>
    <t>K56200</t>
  </si>
  <si>
    <t>MANGO DE BISTURI</t>
  </si>
  <si>
    <t>PINZA DISECCION SIN GARRA</t>
  </si>
  <si>
    <t xml:space="preserve">DIMEDO </t>
  </si>
  <si>
    <t>DEPRESOR ESCLERAL</t>
  </si>
  <si>
    <t>K17825</t>
  </si>
  <si>
    <t>BACK FLUSH CHARLES (MANGO METALICO)</t>
  </si>
  <si>
    <t>PINZA UTILITY</t>
  </si>
  <si>
    <t>K56215</t>
  </si>
  <si>
    <t>TIEJRA MATERIAL STEVENS</t>
  </si>
  <si>
    <t>BACK FLUSH CHARLES</t>
  </si>
  <si>
    <t>DIMEDO</t>
  </si>
  <si>
    <t>ANILLO DE MENDEZ</t>
  </si>
  <si>
    <t>CANULA DE SUBTENON</t>
  </si>
  <si>
    <t>SEPARADOR DESMARRES</t>
  </si>
  <si>
    <t>10-021</t>
  </si>
  <si>
    <t>FACO VIT #3</t>
  </si>
  <si>
    <t>AMARILLO BLANCO CON PUNTOS ROJOS</t>
  </si>
  <si>
    <t>RS022RE</t>
  </si>
  <si>
    <t>RS-020RE</t>
  </si>
  <si>
    <t>K5-5220</t>
  </si>
  <si>
    <t>K5-6200</t>
  </si>
  <si>
    <t>K1-7825</t>
  </si>
  <si>
    <t>K5-6215</t>
  </si>
  <si>
    <t>PINZAS KELLY</t>
  </si>
  <si>
    <t>FACO VIT #2</t>
  </si>
  <si>
    <t xml:space="preserve">PINZA UTRATA </t>
  </si>
  <si>
    <t>RS1022</t>
  </si>
  <si>
    <t xml:space="preserve">PINZA KELLY RECTAS </t>
  </si>
  <si>
    <t>K15572</t>
  </si>
  <si>
    <t>PORTA AGUJA BARRAQUEL</t>
  </si>
  <si>
    <t xml:space="preserve">PINZA MCPHERSON </t>
  </si>
  <si>
    <t>4-174T</t>
  </si>
  <si>
    <t>TOTAL  24</t>
  </si>
  <si>
    <t>CARCLAJE #3</t>
  </si>
  <si>
    <t>NEGRO</t>
  </si>
  <si>
    <t>BLEFAROSTASTO</t>
  </si>
  <si>
    <t>K4-8510</t>
  </si>
  <si>
    <t>K3-6720</t>
  </si>
  <si>
    <t>GANCHO PASA HILO</t>
  </si>
  <si>
    <t>K3-6740</t>
  </si>
  <si>
    <t xml:space="preserve">RETRACTOR ORBITARIO </t>
  </si>
  <si>
    <t>K1-7880</t>
  </si>
  <si>
    <t xml:space="preserve">COMPAS DE CASTRO VIEJO </t>
  </si>
  <si>
    <t>PORTA AGUJA CLIP CURVO</t>
  </si>
  <si>
    <t>K6-1520</t>
  </si>
  <si>
    <t xml:space="preserve">PORTA AGUJA CLIP RECTO </t>
  </si>
  <si>
    <t>K6-1500</t>
  </si>
  <si>
    <t>PINZA PARA EMPATE DE BANDA</t>
  </si>
  <si>
    <t>K5-7950</t>
  </si>
  <si>
    <t>CARCLAJE #1</t>
  </si>
  <si>
    <t>SIN COLOR</t>
  </si>
  <si>
    <t>CERCLAJE #2</t>
  </si>
  <si>
    <t>CARCLAJE #2</t>
  </si>
  <si>
    <t>RETINA-FACOVIT # 1 NUEVO</t>
  </si>
  <si>
    <t xml:space="preserve">RETINA #1 </t>
  </si>
  <si>
    <t>ROJO</t>
  </si>
  <si>
    <t>PORTA AGUJA GRANDE</t>
  </si>
  <si>
    <t>PORTA AGUJA PEQUEÑO</t>
  </si>
  <si>
    <t>TIJERA DE STEVEN</t>
  </si>
  <si>
    <t>PINZA DE TAPON</t>
  </si>
  <si>
    <t>PINZA ADSON BROWN S/G</t>
  </si>
  <si>
    <t>PINZA PUNTO 3</t>
  </si>
  <si>
    <t>PINZA MACPHERSON</t>
  </si>
  <si>
    <t>11-013</t>
  </si>
  <si>
    <t>SINSKY INVERTIDO</t>
  </si>
  <si>
    <t>036-2400</t>
  </si>
  <si>
    <t>PASADOR DE HILO</t>
  </si>
  <si>
    <t>5-060</t>
  </si>
  <si>
    <t>3-013</t>
  </si>
  <si>
    <t>IDENTADOR</t>
  </si>
  <si>
    <t>E-5108</t>
  </si>
  <si>
    <t>BLEFARO LANCASTER</t>
  </si>
  <si>
    <t>BLEFARO DE YAGER (SUPE-INFE)</t>
  </si>
  <si>
    <t>KIRVAN/RUMEX</t>
  </si>
  <si>
    <t>PINZA CURVA PARA BANDA</t>
  </si>
  <si>
    <t xml:space="preserve">MANGUITO CHARLES </t>
  </si>
  <si>
    <t xml:space="preserve">CANULA SUBTENON </t>
  </si>
  <si>
    <t xml:space="preserve">ESTRABISMO </t>
  </si>
  <si>
    <t xml:space="preserve">AZUL CLARO </t>
  </si>
  <si>
    <t>GANCHO DE MUSCULO KATENA</t>
  </si>
  <si>
    <t>GANCHO DE MUSCULO JAMENSON GRANDE</t>
  </si>
  <si>
    <t>GANCHO DE MUSCULO HELVESTON GRANDE</t>
  </si>
  <si>
    <t>K3685</t>
  </si>
  <si>
    <t>GANCHO DE MUSCULO GRAEFE PEQUEÑO</t>
  </si>
  <si>
    <t>K36600</t>
  </si>
  <si>
    <t>GANCHO DE MUSCULO MEDIANO</t>
  </si>
  <si>
    <t>PREFESSIONAL STAINTELESS</t>
  </si>
  <si>
    <t>N|A</t>
  </si>
  <si>
    <t>SEPARADOR DE VALVA</t>
  </si>
  <si>
    <t>DESMARRES PEQ.</t>
  </si>
  <si>
    <t>11-040</t>
  </si>
  <si>
    <t>GERMAN</t>
  </si>
  <si>
    <t>PINZA MOSQUITO CURVA</t>
  </si>
  <si>
    <t>4-121</t>
  </si>
  <si>
    <t>G64-88IQ</t>
  </si>
  <si>
    <t>TIJERA DE MUSCULO</t>
  </si>
  <si>
    <t>PINZA DISECCION BICHO HARTMAN SIN GARRA</t>
  </si>
  <si>
    <t>E1506</t>
  </si>
  <si>
    <t>PINZA DISECCION BICHO HARTMAN CON GARRA</t>
  </si>
  <si>
    <t>PINZA DE CASTRO VIEJO .5</t>
  </si>
  <si>
    <t>MSI</t>
  </si>
  <si>
    <t>1 SE PARTIÓ</t>
  </si>
  <si>
    <t>BLEFAROSTATO DE LANSCASTER</t>
  </si>
  <si>
    <t>CLAMP DE PUTTERMAN</t>
  </si>
  <si>
    <t>2-010</t>
  </si>
  <si>
    <t>PINZAS .5 CASTROVIEJO</t>
  </si>
  <si>
    <t>4-0602s</t>
  </si>
  <si>
    <t xml:space="preserve">EQUIPO TRABECULA #3 </t>
  </si>
  <si>
    <t>NEGRA</t>
  </si>
  <si>
    <t>EQUIPO GLAUCOMA #2</t>
  </si>
  <si>
    <t>COMPAS DE CASTROVIEJO</t>
  </si>
  <si>
    <t>2-010T</t>
  </si>
  <si>
    <t>PINZA CONJUNTIVA FECHTNER</t>
  </si>
  <si>
    <t>K5-1820</t>
  </si>
  <si>
    <t>MICROPUNCH</t>
  </si>
  <si>
    <t>K2-9510</t>
  </si>
  <si>
    <t>PINZA MILITAR</t>
  </si>
  <si>
    <t>SEGAL</t>
  </si>
  <si>
    <t>SD145</t>
  </si>
  <si>
    <t>SERAFIN</t>
  </si>
  <si>
    <t>K5-6510</t>
  </si>
  <si>
    <t>4-230</t>
  </si>
  <si>
    <t>PASAHILO CURVO</t>
  </si>
  <si>
    <t>GANCHODE MUSCULO</t>
  </si>
  <si>
    <t>K3-6710</t>
  </si>
  <si>
    <t xml:space="preserve">ALCON </t>
  </si>
  <si>
    <t>TIJERA STEVENS</t>
  </si>
  <si>
    <t>11-132S</t>
  </si>
  <si>
    <t>EQUIPO GLAUCOMA #1 VIEJITO</t>
  </si>
  <si>
    <t>EQUIPO GLAUCOMA #4</t>
  </si>
  <si>
    <t>PINZA CONJUNTIVA FECHTNER CURVA</t>
  </si>
  <si>
    <t>26-011</t>
  </si>
  <si>
    <t>PINZA CONJUNTIVA FECHTNER RECTA</t>
  </si>
  <si>
    <t xml:space="preserve">INVENTARIO NUEVOS EQUIPOS PTERIGION ACTUALIZADOS </t>
  </si>
  <si>
    <t>PTERIGION #1 y #2</t>
  </si>
  <si>
    <t>PTERIGION #3 y #4</t>
  </si>
  <si>
    <t>Blefaro</t>
  </si>
  <si>
    <t xml:space="preserve">REA-001 </t>
  </si>
  <si>
    <t>Mango bisturi #3</t>
  </si>
  <si>
    <t xml:space="preserve">Espatula </t>
  </si>
  <si>
    <t>K2-3700</t>
  </si>
  <si>
    <t>Pinza Relojero</t>
  </si>
  <si>
    <t>KATENA / GUSOR</t>
  </si>
  <si>
    <t>K5-6510 / G51-3902</t>
  </si>
  <si>
    <t>4-0600T / 4-05</t>
  </si>
  <si>
    <t>RUMEX / KATENA</t>
  </si>
  <si>
    <t>4-0600T / K5-2500</t>
  </si>
  <si>
    <t xml:space="preserve">Pinza bipolar </t>
  </si>
  <si>
    <t>Tijera Wescot</t>
  </si>
  <si>
    <t>KATENA / CARGE</t>
  </si>
  <si>
    <t>Porta aguja</t>
  </si>
  <si>
    <t>Pinza Bonacolto</t>
  </si>
  <si>
    <t>PTERIGION #5 Y #6</t>
  </si>
  <si>
    <t xml:space="preserve">COLOR : AMARILLO </t>
  </si>
  <si>
    <t>PTERIGION #7 Y #8</t>
  </si>
  <si>
    <t>COLOR : rojo con puntos rojos</t>
  </si>
  <si>
    <t>REA-001</t>
  </si>
  <si>
    <t>katena</t>
  </si>
  <si>
    <t>n/a</t>
  </si>
  <si>
    <t>rhein</t>
  </si>
  <si>
    <t>Hadeo</t>
  </si>
  <si>
    <t>Katena</t>
  </si>
  <si>
    <t>Kz-3700</t>
  </si>
  <si>
    <t>Rumex</t>
  </si>
  <si>
    <t>Alcon</t>
  </si>
  <si>
    <t>rumex</t>
  </si>
  <si>
    <t>11-040s</t>
  </si>
  <si>
    <t>k43100</t>
  </si>
  <si>
    <t>Rhein</t>
  </si>
  <si>
    <t>bonacolto</t>
  </si>
  <si>
    <t>k5-6200</t>
  </si>
  <si>
    <t>rf-002</t>
  </si>
  <si>
    <t>PTERIGION #9Y #10</t>
  </si>
  <si>
    <t>COLOR : rojo, verde, naranja, negro</t>
  </si>
  <si>
    <t>hadeo</t>
  </si>
  <si>
    <t>stainless</t>
  </si>
  <si>
    <t>14-15</t>
  </si>
  <si>
    <t>4-0500T</t>
  </si>
  <si>
    <t xml:space="preserve">la otra no tiene marca </t>
  </si>
  <si>
    <t>CORNEA #1</t>
  </si>
  <si>
    <t>rojo-rosado</t>
  </si>
  <si>
    <t>CORNEA #2</t>
  </si>
  <si>
    <t>puntos amarillo</t>
  </si>
  <si>
    <t>Blefaro de yaguer</t>
  </si>
  <si>
    <t>Anillos de flieringa</t>
  </si>
  <si>
    <t>porta aguja</t>
  </si>
  <si>
    <t>tijera central de cornea</t>
  </si>
  <si>
    <t>jermani</t>
  </si>
  <si>
    <t>E3220</t>
  </si>
  <si>
    <t>11-034S</t>
  </si>
  <si>
    <t>tijera derecha</t>
  </si>
  <si>
    <t>E3233</t>
  </si>
  <si>
    <t>11-0201S</t>
  </si>
  <si>
    <t xml:space="preserve">tijera izquierda </t>
  </si>
  <si>
    <t>E3232</t>
  </si>
  <si>
    <t>11-020S</t>
  </si>
  <si>
    <t>pinza relojero</t>
  </si>
  <si>
    <t>STALLON</t>
  </si>
  <si>
    <t>ST-16915</t>
  </si>
  <si>
    <t>4-1851</t>
  </si>
  <si>
    <t>punto 12</t>
  </si>
  <si>
    <t>pinza polac</t>
  </si>
  <si>
    <t>E-3215</t>
  </si>
  <si>
    <t>4-0814T</t>
  </si>
  <si>
    <t>compas</t>
  </si>
  <si>
    <t>espatula</t>
  </si>
  <si>
    <t>13-052</t>
  </si>
  <si>
    <t>marcadores de radio 4-4m/m</t>
  </si>
  <si>
    <t>K3-8850</t>
  </si>
  <si>
    <t>cucharilla boton corneal</t>
  </si>
  <si>
    <t>K3-4255</t>
  </si>
  <si>
    <t>Pinza punto 5</t>
  </si>
  <si>
    <t>tijera de wescot</t>
  </si>
  <si>
    <t>marcadores de radio 12-4m/m</t>
  </si>
  <si>
    <t>k3-8854</t>
  </si>
  <si>
    <t>sinky invertido</t>
  </si>
  <si>
    <t>5-0322</t>
  </si>
  <si>
    <t>k3-8855</t>
  </si>
  <si>
    <t>kelly curva</t>
  </si>
  <si>
    <t>Pinza kelly curva</t>
  </si>
  <si>
    <t>rotador</t>
  </si>
  <si>
    <t>k3-4250</t>
  </si>
  <si>
    <t>blefaro colibri</t>
  </si>
  <si>
    <t xml:space="preserve">queratometro </t>
  </si>
  <si>
    <t>disector DMEK</t>
  </si>
  <si>
    <t>13-185</t>
  </si>
  <si>
    <t>tijera de vannas</t>
  </si>
  <si>
    <t>11-052</t>
  </si>
  <si>
    <t>espatula gruesa</t>
  </si>
  <si>
    <t>k2-3661</t>
  </si>
  <si>
    <t xml:space="preserve">espatula </t>
  </si>
  <si>
    <t>k3-1877</t>
  </si>
  <si>
    <t>3-171</t>
  </si>
  <si>
    <t>canula de DALK 27G</t>
  </si>
  <si>
    <t>15-450</t>
  </si>
  <si>
    <t>mecador medidor de trepano sin mango</t>
  </si>
  <si>
    <t>pinza de agarre curva</t>
  </si>
  <si>
    <t>canula de irrigacion 19</t>
  </si>
  <si>
    <t>tijera DE DALK derecha</t>
  </si>
  <si>
    <t>11-134</t>
  </si>
  <si>
    <t>tijera de DALK izquierda</t>
  </si>
  <si>
    <t>11-135</t>
  </si>
  <si>
    <t>Pinza kelly recta</t>
  </si>
  <si>
    <t>dimedo</t>
  </si>
  <si>
    <t xml:space="preserve">EQUIPO DALK DRA JUANITA </t>
  </si>
  <si>
    <t>ROSADO</t>
  </si>
  <si>
    <t>TIJERA DERECHA DALK</t>
  </si>
  <si>
    <t>11-0381S</t>
  </si>
  <si>
    <t>TIJERA IZQUIERDA DALK</t>
  </si>
  <si>
    <t>11-038S</t>
  </si>
  <si>
    <t>EQUIPO DE CORNEA DRA JUANA</t>
  </si>
  <si>
    <t>MORADO</t>
  </si>
  <si>
    <t>CANULA DALK 27G</t>
  </si>
  <si>
    <t>ANILLO DE MENDEZ TORICO</t>
  </si>
  <si>
    <t xml:space="preserve">N/A </t>
  </si>
  <si>
    <t>TB 34001N-1</t>
  </si>
  <si>
    <t>CANULAS DALK 27G</t>
  </si>
  <si>
    <t>SPEEDWAY DELHI</t>
  </si>
  <si>
    <t xml:space="preserve">MARCADOR DE GUIAS DE SUTURA TRASPLANTE </t>
  </si>
  <si>
    <t>OPHSURIN</t>
  </si>
  <si>
    <t>B-34166-1</t>
  </si>
  <si>
    <t>CANULA LASIK  25G</t>
  </si>
  <si>
    <t xml:space="preserve">MICROPUNCH DE 3MM </t>
  </si>
  <si>
    <t>SPEEDWEY DELHI</t>
  </si>
  <si>
    <t>TM-20005-1</t>
  </si>
  <si>
    <t>PINZA DE POLACK</t>
  </si>
  <si>
    <t>KATENA - GARGET</t>
  </si>
  <si>
    <t>K5-1560-N/A</t>
  </si>
  <si>
    <t>TS-13008</t>
  </si>
  <si>
    <t>TIJERA MICROWESTCOTT CURVA A1</t>
  </si>
  <si>
    <t>MEDICAL</t>
  </si>
  <si>
    <t>S-0200</t>
  </si>
  <si>
    <t>PORTAAGUJAS</t>
  </si>
  <si>
    <t>8-051T</t>
  </si>
  <si>
    <t>TF-11</t>
  </si>
  <si>
    <t>AURORA</t>
  </si>
  <si>
    <t>AS7-350TKK</t>
  </si>
  <si>
    <t>BLEFARO COLIBRI</t>
  </si>
  <si>
    <t>NO</t>
  </si>
  <si>
    <t>CANULA AKAHOSHI NEGRA Y BLANCA</t>
  </si>
  <si>
    <t>ASICO</t>
  </si>
  <si>
    <t>INST. DR ESCAF 1</t>
  </si>
  <si>
    <t>AZUL-VERDE</t>
  </si>
  <si>
    <t>blefaro lancaster o liberman</t>
  </si>
  <si>
    <t>canula de aspiracion</t>
  </si>
  <si>
    <t>SE SACARON? DR. BART?</t>
  </si>
  <si>
    <t>EQUIPO CATARATA #2 DRA JUANITA</t>
  </si>
  <si>
    <t>COLOR AZUL</t>
  </si>
  <si>
    <t>mango de bisturi Nº3</t>
  </si>
  <si>
    <t>mango de bisturi 3</t>
  </si>
  <si>
    <t>tijera de westcott</t>
  </si>
  <si>
    <t>asa</t>
  </si>
  <si>
    <t>6-072</t>
  </si>
  <si>
    <t>prechopper</t>
  </si>
  <si>
    <t>Medidor de rexis 6.0</t>
  </si>
  <si>
    <t>CANULA #25</t>
  </si>
  <si>
    <t>manipulador</t>
  </si>
  <si>
    <t>Medidor de rexis 5.5</t>
  </si>
  <si>
    <t>CANULA AKAJOSHI</t>
  </si>
  <si>
    <t>sostenedor</t>
  </si>
  <si>
    <t>4-111</t>
  </si>
  <si>
    <t>CANULA GRIS</t>
  </si>
  <si>
    <t>pinza macperson</t>
  </si>
  <si>
    <t>4-092S</t>
  </si>
  <si>
    <t xml:space="preserve">Se sacó </t>
  </si>
  <si>
    <t>TB-34110-1</t>
  </si>
  <si>
    <t>gancho becker</t>
  </si>
  <si>
    <t>4-091S</t>
  </si>
  <si>
    <t xml:space="preserve">GANCHO DE LESTER </t>
  </si>
  <si>
    <t xml:space="preserve">SPEEDWAY </t>
  </si>
  <si>
    <t>pinza .3</t>
  </si>
  <si>
    <t>11-042s</t>
  </si>
  <si>
    <t>K3-2359</t>
  </si>
  <si>
    <t>pinza de chalazion</t>
  </si>
  <si>
    <t>I7321</t>
  </si>
  <si>
    <t>AE-2552</t>
  </si>
  <si>
    <t>8-021T</t>
  </si>
  <si>
    <t>4-0551T</t>
  </si>
  <si>
    <t>TS-13058</t>
  </si>
  <si>
    <t>4-0331T</t>
  </si>
  <si>
    <t>TITANIUM</t>
  </si>
  <si>
    <t>0H043</t>
  </si>
  <si>
    <t xml:space="preserve">EL-23 LE 2.3 </t>
  </si>
  <si>
    <t>punto 3</t>
  </si>
  <si>
    <t>4-067S</t>
  </si>
  <si>
    <t>tijera de material</t>
  </si>
  <si>
    <t>11-091</t>
  </si>
  <si>
    <t xml:space="preserve">canulas de burato </t>
  </si>
  <si>
    <t>DUET</t>
  </si>
  <si>
    <t>DOBLADAS</t>
  </si>
  <si>
    <t>se sacan 4</t>
  </si>
  <si>
    <t>P-432</t>
  </si>
  <si>
    <t>EL-26 LE</t>
  </si>
  <si>
    <t>COLOR ROSADO</t>
  </si>
  <si>
    <t>SP129274A</t>
  </si>
  <si>
    <t xml:space="preserve">pinza para montar lente </t>
  </si>
  <si>
    <t>AE-4182</t>
  </si>
  <si>
    <t>K3-7904</t>
  </si>
  <si>
    <t>blefaro liberman con aspiracion</t>
  </si>
  <si>
    <t>14-080A</t>
  </si>
  <si>
    <t xml:space="preserve">ANILLO DE MENDEZ TORICO </t>
  </si>
  <si>
    <t>TB-34001N-1</t>
  </si>
  <si>
    <t>G36-36</t>
  </si>
  <si>
    <t>MARCADOR DE EJE PARA TORICO</t>
  </si>
  <si>
    <t>TB-34002</t>
  </si>
  <si>
    <t>7-1171</t>
  </si>
  <si>
    <t>MARCADOR DE REXIS 5.5MM</t>
  </si>
  <si>
    <t>PINZA MC PHERSON</t>
  </si>
  <si>
    <t>Rotador sinskey</t>
  </si>
  <si>
    <t>G35-2410</t>
  </si>
  <si>
    <t>RHEIN ESSNTIALS</t>
  </si>
  <si>
    <t>BLEFAROSTATO INVERSO</t>
  </si>
  <si>
    <t>becker</t>
  </si>
  <si>
    <t xml:space="preserve">OLIVA </t>
  </si>
  <si>
    <t>TB-14140-1</t>
  </si>
  <si>
    <t>BROSS</t>
  </si>
  <si>
    <t>CANULAS DE HIDRODISECCION</t>
  </si>
  <si>
    <t>AKAHOSHI</t>
  </si>
  <si>
    <t xml:space="preserve">SE SACÓ </t>
  </si>
  <si>
    <t>20-004</t>
  </si>
  <si>
    <t>13-010</t>
  </si>
  <si>
    <t>se sacó</t>
  </si>
  <si>
    <t>bifurcado</t>
  </si>
  <si>
    <t>GRAFE</t>
  </si>
  <si>
    <t>paraguitas</t>
  </si>
  <si>
    <t>orqueta</t>
  </si>
  <si>
    <t>P-429</t>
  </si>
  <si>
    <t>Manipulador orqueta</t>
  </si>
  <si>
    <t>D16</t>
  </si>
  <si>
    <t>INST. DRA AIDA ZABALETA</t>
  </si>
  <si>
    <t>BEISH-ROJO</t>
  </si>
  <si>
    <t>MICORUTRATAS GIANETTY</t>
  </si>
  <si>
    <t>k5-5090</t>
  </si>
  <si>
    <t>BLEFARO JAGUER</t>
  </si>
  <si>
    <t>canula AKAHOSHI METALICAS</t>
  </si>
  <si>
    <t>CANULA AKAHOSHI</t>
  </si>
  <si>
    <t>canula de chams</t>
  </si>
  <si>
    <t>PINZA DE DISECCION ADSON BRAUN SIN GARRA</t>
  </si>
  <si>
    <t>4-0740</t>
  </si>
  <si>
    <t xml:space="preserve">Pinza microutrata </t>
  </si>
  <si>
    <t>40321T</t>
  </si>
  <si>
    <t>PASA HILO</t>
  </si>
  <si>
    <t>pinza bipolar</t>
  </si>
  <si>
    <t>ACC.</t>
  </si>
  <si>
    <t xml:space="preserve">GANCHO DE OLIVA </t>
  </si>
  <si>
    <t>H-1996</t>
  </si>
  <si>
    <t>APPASMY</t>
  </si>
  <si>
    <t>AAT-3800</t>
  </si>
  <si>
    <t>PINZA UTILITI</t>
  </si>
  <si>
    <t>4-077</t>
  </si>
  <si>
    <t>MANGUERAS ASPIRACION BLEFARO</t>
  </si>
  <si>
    <t>N</t>
  </si>
  <si>
    <t xml:space="preserve">PORTAAGUJA </t>
  </si>
  <si>
    <t>MICROUTRATA</t>
  </si>
  <si>
    <t>P711</t>
  </si>
  <si>
    <t>GANCHOS KUGLAND</t>
  </si>
  <si>
    <t>CANULA</t>
  </si>
  <si>
    <t>ROTADOR DE NUCLEO</t>
  </si>
  <si>
    <t xml:space="preserve">TOTAL: </t>
  </si>
  <si>
    <t xml:space="preserve">INYECTOR ICL DR. ESCAF </t>
  </si>
  <si>
    <t xml:space="preserve">PINZA DE LENTE </t>
  </si>
  <si>
    <t>AE-444625303/10</t>
  </si>
  <si>
    <t>INST. DR. VELEZ</t>
  </si>
  <si>
    <t>BLANCO-NEGRO</t>
  </si>
  <si>
    <t xml:space="preserve">INYECTOR  DESECHABLE </t>
  </si>
  <si>
    <t>NA</t>
  </si>
  <si>
    <t xml:space="preserve">CARTUCHO DESECHABLE </t>
  </si>
  <si>
    <t xml:space="preserve">NA </t>
  </si>
  <si>
    <t>AE-4255N</t>
  </si>
  <si>
    <t>KELLY CURVA</t>
  </si>
  <si>
    <t>PROFESIONAL</t>
  </si>
  <si>
    <t>PH-1322</t>
  </si>
  <si>
    <t>MANIPULADOR DRISDEL</t>
  </si>
  <si>
    <t>AE-2531</t>
  </si>
  <si>
    <t>KELLY RECTA</t>
  </si>
  <si>
    <t>PAQUITAN</t>
  </si>
  <si>
    <t>TIJERA DE CORTAR LENTES</t>
  </si>
  <si>
    <t>12-001</t>
  </si>
  <si>
    <t>7-065</t>
  </si>
  <si>
    <t>MICRO PINZAS</t>
  </si>
  <si>
    <t>MANGO DE MICROPINZAS</t>
  </si>
  <si>
    <t>12-003</t>
  </si>
  <si>
    <t>INST. NUEVO DR. ESCAF #2</t>
  </si>
  <si>
    <t xml:space="preserve">ESPATULAS </t>
  </si>
  <si>
    <t xml:space="preserve">GANCHO BIFURCADO </t>
  </si>
  <si>
    <t>7-077</t>
  </si>
  <si>
    <t>MICRO TIJERA</t>
  </si>
  <si>
    <t>12-202</t>
  </si>
  <si>
    <t>CANULA DE IRRIGACION 27</t>
  </si>
  <si>
    <t>CANULA DE IRRIGACION 23</t>
  </si>
  <si>
    <t>MICRO IDENTADOR</t>
  </si>
  <si>
    <t>13-304</t>
  </si>
  <si>
    <t>INST. DR ESCAF ACC</t>
  </si>
  <si>
    <t>canula I/A</t>
  </si>
  <si>
    <t>ULTRAFLOW</t>
  </si>
  <si>
    <t xml:space="preserve">micro asa </t>
  </si>
  <si>
    <t>SE SACO</t>
  </si>
  <si>
    <t>forcep handle</t>
  </si>
  <si>
    <t>TOUCH MST</t>
  </si>
  <si>
    <t>beker</t>
  </si>
  <si>
    <t>SE SACÓ</t>
  </si>
  <si>
    <t>EQUIPO CATARATA #1 DRA JUANITA</t>
  </si>
  <si>
    <t>SOSTENEDOR DE NUCLEO ESCAF</t>
  </si>
  <si>
    <t>AE-2551</t>
  </si>
  <si>
    <t>canulas de irrigacion (plateadas)</t>
  </si>
  <si>
    <t>MANIPULADOR DE NUCLEO ESCAF</t>
  </si>
  <si>
    <t>K3-2347</t>
  </si>
  <si>
    <t>mango para sinskey</t>
  </si>
  <si>
    <t>EL-26LE</t>
  </si>
  <si>
    <t>micro utrata 23G</t>
  </si>
  <si>
    <t>CRVS</t>
  </si>
  <si>
    <t>DFH-0030</t>
  </si>
  <si>
    <t>ESPATULA DE IRIS DOBLE</t>
  </si>
  <si>
    <t>micro pinza</t>
  </si>
  <si>
    <t>TY23G</t>
  </si>
  <si>
    <t>ST-4916A</t>
  </si>
  <si>
    <t>PUNTAS DE ULTRACHOPPER</t>
  </si>
  <si>
    <t>PUNTAS DE FACO BALANCE</t>
  </si>
  <si>
    <t>CANULAS MANIPULADORAS</t>
  </si>
  <si>
    <t>4-0331</t>
  </si>
  <si>
    <t>CANULAS AKAHOSHI HIDRODISECCION</t>
  </si>
  <si>
    <t>G36-360</t>
  </si>
  <si>
    <t>PUNTAS HIBRIDAS</t>
  </si>
  <si>
    <t>MB # 3</t>
  </si>
  <si>
    <t>SP-12924A</t>
  </si>
  <si>
    <t xml:space="preserve">BLEFAROSTATO DE COLIBRÍ </t>
  </si>
  <si>
    <t>CANULA DE IRRIGACION</t>
  </si>
  <si>
    <t>CANULA DE ASPIRACION</t>
  </si>
  <si>
    <t>EQUIPO DSEK- DMEK  DRA JUANITA</t>
  </si>
  <si>
    <t>COLOR MORADO-AZUL</t>
  </si>
  <si>
    <t>RAICO</t>
  </si>
  <si>
    <t>SP-10029</t>
  </si>
  <si>
    <t>BECHER</t>
  </si>
  <si>
    <t>PINZA GUELL DMEK</t>
  </si>
  <si>
    <t>AE-4210</t>
  </si>
  <si>
    <t>MANUPULADOR CON OLIVA</t>
  </si>
  <si>
    <t>DISECTOR DMEK ROOTMAN GOLDICH</t>
  </si>
  <si>
    <t>K3-1880</t>
  </si>
  <si>
    <t>CHOPER</t>
  </si>
  <si>
    <t>DISECTOR ESPATULADO CURVO DE CORNEA</t>
  </si>
  <si>
    <t>K2-3661</t>
  </si>
  <si>
    <t>SINSKEY</t>
  </si>
  <si>
    <t>CANULA AMARILLA</t>
  </si>
  <si>
    <t>SINSKEY INVERTIDO BROSS</t>
  </si>
  <si>
    <t xml:space="preserve">MEDICAL </t>
  </si>
  <si>
    <t>SISNKEY INVERTIDO A1</t>
  </si>
  <si>
    <t>HS-0691</t>
  </si>
  <si>
    <t>PINZA RELOJERO AURORA</t>
  </si>
  <si>
    <t>AS7-518S</t>
  </si>
  <si>
    <t>PINZA.12</t>
  </si>
  <si>
    <t>PINZA OGAWA PARA DSEK</t>
  </si>
  <si>
    <t>MORIA</t>
  </si>
  <si>
    <t>COFCA</t>
  </si>
  <si>
    <t>MARROQUIN</t>
  </si>
  <si>
    <t>CANULAS DE HIDRODISECCION AKAHOSHI</t>
  </si>
  <si>
    <t>MARCADOR DE DIAMETRO 8.0MM</t>
  </si>
  <si>
    <t xml:space="preserve"> SEPARADOR DE VALVA MEDIANO</t>
  </si>
  <si>
    <t>67-3600</t>
  </si>
  <si>
    <t>MARCADOR DE DIAMETRO 8.5 MM</t>
  </si>
  <si>
    <t xml:space="preserve"> SEPARADOR DE VALVA GRANDE</t>
  </si>
  <si>
    <t>67-3601</t>
  </si>
  <si>
    <t>PINZA DE CORNEA ANGULADA A1</t>
  </si>
  <si>
    <t>F-0580T</t>
  </si>
  <si>
    <t xml:space="preserve"> SEPARADOR DE VALVA PEQUEÑO</t>
  </si>
  <si>
    <t>GANCHO DE MUSCULO  ABOTONADO</t>
  </si>
  <si>
    <t>G361002</t>
  </si>
  <si>
    <t xml:space="preserve">GANCHO DE MUSCULO PEQUEÑO </t>
  </si>
  <si>
    <t>E600</t>
  </si>
  <si>
    <t>K3-6600</t>
  </si>
  <si>
    <t>PORTA AGUJA DE CASTRO VIEJO GRANDE</t>
  </si>
  <si>
    <t>E-3839X</t>
  </si>
  <si>
    <t>TIJERA DE WESCOTT</t>
  </si>
  <si>
    <t>0674-8810</t>
  </si>
  <si>
    <t xml:space="preserve">MICROCIRUGIA DR. LUIS CARLOS CARLOS ESCAF </t>
  </si>
  <si>
    <t>MST</t>
  </si>
  <si>
    <t>TIJERA PARA CORTAR LENTE IC 19G</t>
  </si>
  <si>
    <t>MST -DFH-0012</t>
  </si>
  <si>
    <t>DISECCION BICHO HARTMAN SIN GARRA</t>
  </si>
  <si>
    <t>PINZAS CAPSULOREXIS MG 23G</t>
  </si>
  <si>
    <t>MST -DFH-0009</t>
  </si>
  <si>
    <t>DISECCION BICHO HARTMAN CON GARRA</t>
  </si>
  <si>
    <t xml:space="preserve">PINZA MICROGASPER CURVADO MH 23G </t>
  </si>
  <si>
    <t>MST -DFH-0019</t>
  </si>
  <si>
    <t>G22-3100</t>
  </si>
  <si>
    <t>MICROPINZA DE SUJECION 23G TY</t>
  </si>
  <si>
    <t>MST -DFH-0003</t>
  </si>
  <si>
    <t>CLANES SERAFINES</t>
  </si>
  <si>
    <t>MANGO DE FORCEPS</t>
  </si>
  <si>
    <t xml:space="preserve">MST </t>
  </si>
  <si>
    <t>MICROPINZA 25G SG</t>
  </si>
  <si>
    <t>MST- DFH-0032</t>
  </si>
  <si>
    <t>G51-3003</t>
  </si>
  <si>
    <t>MICROTIJERA 23G HS</t>
  </si>
  <si>
    <t>MST- DFH-0008</t>
  </si>
  <si>
    <t>DOCTORA MELO EXTRA CAPSULAR</t>
  </si>
  <si>
    <t>TIJERA DE VANAS</t>
  </si>
  <si>
    <t>I-7336</t>
  </si>
  <si>
    <t xml:space="preserve">DR ESCAF </t>
  </si>
  <si>
    <t>BLANCO/ NEGRO</t>
  </si>
  <si>
    <t>CANULA DE SINCOE</t>
  </si>
  <si>
    <t>16G</t>
  </si>
  <si>
    <t>PUNTA ULTRA</t>
  </si>
  <si>
    <t>DRA ALEJANDRA VILLALOBOS</t>
  </si>
  <si>
    <t>4-0312S</t>
  </si>
  <si>
    <t>DR. VELEZ</t>
  </si>
  <si>
    <t>EL-26 LE2.3</t>
  </si>
  <si>
    <t>DRA. LUPE Y JENNY</t>
  </si>
  <si>
    <t>SOSTENEDORES</t>
  </si>
  <si>
    <t>INST. DRA NATINA PINTO</t>
  </si>
  <si>
    <t>COLOR NARANJA</t>
  </si>
  <si>
    <t>Bicho hartman</t>
  </si>
  <si>
    <t>55-1370</t>
  </si>
  <si>
    <t>ACCUTOME</t>
  </si>
  <si>
    <t>AF 5180</t>
  </si>
  <si>
    <t>4-0300S</t>
  </si>
  <si>
    <t>Tijera wescot</t>
  </si>
  <si>
    <t>INDIA</t>
  </si>
  <si>
    <t>DRA. ANA LAMUS</t>
  </si>
  <si>
    <t>AA-4050</t>
  </si>
  <si>
    <t>CHOPPERHORIZONTAL</t>
  </si>
  <si>
    <t>Tijera de vannas angulada</t>
  </si>
  <si>
    <t>PARTIDA</t>
  </si>
  <si>
    <t>S4-1370</t>
  </si>
  <si>
    <t>Espatula</t>
  </si>
  <si>
    <t>S4-1040</t>
  </si>
  <si>
    <t>Espatula doble</t>
  </si>
  <si>
    <t>Kelly recta</t>
  </si>
  <si>
    <t>EQ PLASTIA DR MELO</t>
  </si>
  <si>
    <t>Porta agujas fino</t>
  </si>
  <si>
    <t>APPASAMY</t>
  </si>
  <si>
    <t>AAT-5175</t>
  </si>
  <si>
    <t>STL-14564</t>
  </si>
  <si>
    <t>Compas curvo</t>
  </si>
  <si>
    <t>OXIDADO</t>
  </si>
  <si>
    <t>TIJERA DE WESCOTT RECTA</t>
  </si>
  <si>
    <t>STOTZ</t>
  </si>
  <si>
    <t>E-3322</t>
  </si>
  <si>
    <t>Pinza de polac</t>
  </si>
  <si>
    <t>WEXLER</t>
  </si>
  <si>
    <t>FL0120</t>
  </si>
  <si>
    <t>GANCHO DE BERCKLEY</t>
  </si>
  <si>
    <t>E-2504</t>
  </si>
  <si>
    <t>Marcador de rexis</t>
  </si>
  <si>
    <t xml:space="preserve">Marcador de rado </t>
  </si>
  <si>
    <t>CALZADOR</t>
  </si>
  <si>
    <t xml:space="preserve">Canula para desprender endotelio </t>
  </si>
  <si>
    <t>13-139/UI</t>
  </si>
  <si>
    <t>TIJERA PLASTIA RECTA</t>
  </si>
  <si>
    <t>E-3560</t>
  </si>
  <si>
    <t>1 NO SE ECONTRO</t>
  </si>
  <si>
    <t xml:space="preserve">Canula burato </t>
  </si>
  <si>
    <t>AAT-7411 / AAT - 7411</t>
  </si>
  <si>
    <t>TIJERA PLASTIA CURVA</t>
  </si>
  <si>
    <t>DIXEY</t>
  </si>
  <si>
    <t>D-655</t>
  </si>
  <si>
    <t>E-1801</t>
  </si>
  <si>
    <t>PADGETT</t>
  </si>
  <si>
    <t>PM-4908</t>
  </si>
  <si>
    <t>E-1797</t>
  </si>
  <si>
    <t>COLA DE MARRANO</t>
  </si>
  <si>
    <t>DR. JOSE RODRIGUEZ</t>
  </si>
  <si>
    <t>DESMARRES</t>
  </si>
  <si>
    <t>MARTIN</t>
  </si>
  <si>
    <t>ST-12150</t>
  </si>
  <si>
    <t>FALTA 1</t>
  </si>
  <si>
    <t>CHOPPER VERTICAL</t>
  </si>
  <si>
    <t>SEN MILLER</t>
  </si>
  <si>
    <t>CHOPPER HORIZONTAL</t>
  </si>
  <si>
    <t>BISTURI #3</t>
  </si>
  <si>
    <t>GANCHO SENCILLO</t>
  </si>
  <si>
    <t>SOLO 1</t>
  </si>
  <si>
    <t>ZABBY´S</t>
  </si>
  <si>
    <t>STALLION</t>
  </si>
  <si>
    <t>SONDA ACANALADA</t>
  </si>
  <si>
    <t>MILREX</t>
  </si>
  <si>
    <t>GANCHO DOBLE</t>
  </si>
  <si>
    <t>E-598</t>
  </si>
  <si>
    <t>PINZA DE CAMPO</t>
  </si>
  <si>
    <t>ZIEGLER</t>
  </si>
  <si>
    <t>CANULA FRAZIER</t>
  </si>
  <si>
    <t>CANULA DE ASPIRACION DR. JIMMY</t>
  </si>
  <si>
    <t>PORTA AGUJA</t>
  </si>
  <si>
    <t>DIXEIL</t>
  </si>
  <si>
    <t>D-609</t>
  </si>
  <si>
    <t>TIJERA DE METZEMBAUN</t>
  </si>
  <si>
    <t>MILTEX/STORZ</t>
  </si>
  <si>
    <t>5-180TC/E-3652</t>
  </si>
  <si>
    <t>PINZA KERRINSON</t>
  </si>
  <si>
    <t>50-271</t>
  </si>
  <si>
    <t>ASCULAP</t>
  </si>
  <si>
    <t>BH13</t>
  </si>
  <si>
    <t>ESCHEPENS</t>
  </si>
  <si>
    <t>F5008</t>
  </si>
  <si>
    <t>REGLA</t>
  </si>
  <si>
    <t>INCHES</t>
  </si>
  <si>
    <t>BABY MOSQUITO CURVA</t>
  </si>
  <si>
    <t>BABY MOSQUITO RECTA</t>
  </si>
  <si>
    <t>ST-19-055</t>
  </si>
  <si>
    <t>3-030</t>
  </si>
  <si>
    <t>ROTADOR</t>
  </si>
  <si>
    <t xml:space="preserve">BLEFARO </t>
  </si>
  <si>
    <t>14-040T</t>
  </si>
  <si>
    <t>TIJ. WESCOTT</t>
  </si>
  <si>
    <t>11-012D</t>
  </si>
  <si>
    <t>MACPHERSON</t>
  </si>
  <si>
    <t>DOCTOR MELVIN</t>
  </si>
  <si>
    <t>RELOJERO</t>
  </si>
  <si>
    <t>4-111T</t>
  </si>
  <si>
    <t>RUMEZ</t>
  </si>
  <si>
    <t>4-0395</t>
  </si>
  <si>
    <t>BLEFAROSTATO</t>
  </si>
  <si>
    <t>58283D</t>
  </si>
  <si>
    <t>CHOPER DOBLE#1</t>
  </si>
  <si>
    <t>PASAMY</t>
  </si>
  <si>
    <t>CHOPER DOBLE#2</t>
  </si>
  <si>
    <t>CHOPER DOBLE#3</t>
  </si>
  <si>
    <t>CHOPER HORIZONTAL</t>
  </si>
  <si>
    <t>CHOPER VERTICAL</t>
  </si>
  <si>
    <t xml:space="preserve">EQUIPO DRA. PAOLA RESIDENTE </t>
  </si>
  <si>
    <t>SOSTENEDOR PEQUEÑO</t>
  </si>
  <si>
    <t>SOSTENEDOR GRANDE</t>
  </si>
  <si>
    <t>ULTRATA</t>
  </si>
  <si>
    <t>MICROULTRATA</t>
  </si>
  <si>
    <t>4-0391S</t>
  </si>
  <si>
    <t>CURETA PARA CHALAZION</t>
  </si>
  <si>
    <t xml:space="preserve">ANILLO CORNEAL INCISIONES </t>
  </si>
  <si>
    <t>ASA DE ESNELLE</t>
  </si>
  <si>
    <t>PORTAGUJAS RECTO</t>
  </si>
  <si>
    <t xml:space="preserve">PORTAGUJAS CON CLIP </t>
  </si>
  <si>
    <t xml:space="preserve">CANULA/ASA </t>
  </si>
  <si>
    <t>MOSQUITO RECTA</t>
  </si>
  <si>
    <t xml:space="preserve">DOCTOR MELVIN </t>
  </si>
  <si>
    <t>PINZA PARA SOSTENER LENTE</t>
  </si>
  <si>
    <t>PINZA PARA CORTAR LENTE</t>
  </si>
  <si>
    <t>4-21731</t>
  </si>
  <si>
    <t>TIJERA STEVENS RECTA</t>
  </si>
  <si>
    <t>CHOPPER NAGHARA</t>
  </si>
  <si>
    <t>DRISDAKE MANIPULADOR</t>
  </si>
  <si>
    <t xml:space="preserve">SOSTENEDOR AKAHOSHI </t>
  </si>
  <si>
    <t>MANGO DE BISTURÍ #3</t>
  </si>
  <si>
    <t xml:space="preserve">BLEFAROSTATO LANCASTER </t>
  </si>
  <si>
    <t>DRA MICHELL</t>
  </si>
  <si>
    <t xml:space="preserve">TIJERA DE WESTCOTT </t>
  </si>
  <si>
    <t>DOCTOR CESAR BOLIVAR</t>
  </si>
  <si>
    <t>AZUL</t>
  </si>
  <si>
    <t>INSTRUMENTAL ANILLO INTACS</t>
  </si>
  <si>
    <t>AA4155</t>
  </si>
  <si>
    <t xml:space="preserve">ANILO DE SUCCION </t>
  </si>
  <si>
    <t>KERAVISION</t>
  </si>
  <si>
    <t>KV10478-2</t>
  </si>
  <si>
    <t>TMH113</t>
  </si>
  <si>
    <t>TUNELIZADOR VEJARANO 5.0</t>
  </si>
  <si>
    <t>IMT</t>
  </si>
  <si>
    <t>MICRO PONCHE</t>
  </si>
  <si>
    <t>TUNELIZADOR CORNEAL 6.0MM</t>
  </si>
  <si>
    <t>INTACS</t>
  </si>
  <si>
    <t>AT-11209-1</t>
  </si>
  <si>
    <t>PINZA .12 AZUL</t>
  </si>
  <si>
    <t>MARCADOR CORNEAL 6MM</t>
  </si>
  <si>
    <t>KV-11211</t>
  </si>
  <si>
    <t>PINZA .12 GRIS</t>
  </si>
  <si>
    <t xml:space="preserve">MEDIDORES CORNEALES </t>
  </si>
  <si>
    <t>PINZA .12 COLIBRE</t>
  </si>
  <si>
    <t xml:space="preserve">ULTRATA </t>
  </si>
  <si>
    <t>PINZA CONJUNTIVA</t>
  </si>
  <si>
    <t>4-23</t>
  </si>
  <si>
    <t>MANIPULADOR CURVO</t>
  </si>
  <si>
    <t>INVENTARIO INSTRUMENTAL  DR ERICK ALVAREZ</t>
  </si>
  <si>
    <t>CHOPPER DOBLE CURVO</t>
  </si>
  <si>
    <t>SOTENEDOR PEQUEÑO</t>
  </si>
  <si>
    <t>SOTENEDOR GRANDE</t>
  </si>
  <si>
    <t>DOCTOR JUAN FERNANDO</t>
  </si>
  <si>
    <t>ROJO-NEGRO</t>
  </si>
  <si>
    <t>E3320-R</t>
  </si>
  <si>
    <t>071T</t>
  </si>
  <si>
    <t>E181</t>
  </si>
  <si>
    <t xml:space="preserve">PINZA .12 </t>
  </si>
  <si>
    <t>DOCTOR JUAN LA SACO DEL EQUIPO</t>
  </si>
  <si>
    <t>PINZA TIRAPUNTO</t>
  </si>
  <si>
    <t>E-1926S</t>
  </si>
  <si>
    <t>ASA SNELLER</t>
  </si>
  <si>
    <t>649S</t>
  </si>
  <si>
    <t>410300S</t>
  </si>
  <si>
    <t>EQUIPO CATARATA #3 DRA JUANITA</t>
  </si>
  <si>
    <t>OLIVA</t>
  </si>
  <si>
    <t xml:space="preserve"> OPHSURIN</t>
  </si>
  <si>
    <t>TV-14140-1</t>
  </si>
  <si>
    <t>BIFURCADO EN Y BECHER</t>
  </si>
  <si>
    <t>TB-14105-1</t>
  </si>
  <si>
    <t>E-542</t>
  </si>
  <si>
    <t xml:space="preserve">GANCHOS KUGLAN </t>
  </si>
  <si>
    <t>ST-4904</t>
  </si>
  <si>
    <t>ST-4916:A</t>
  </si>
  <si>
    <t>A.HISS</t>
  </si>
  <si>
    <t>DIVISOR DE NUCLEO ESCAFF</t>
  </si>
  <si>
    <t xml:space="preserve">GUSOR </t>
  </si>
  <si>
    <t>11-058S</t>
  </si>
  <si>
    <t>PORTA AGUJAS</t>
  </si>
  <si>
    <t>TH-12233-1</t>
  </si>
  <si>
    <t>TF11226-1</t>
  </si>
  <si>
    <t>TS-1364-1</t>
  </si>
  <si>
    <t xml:space="preserve">BLEFARO DE COLIBRI PEDIATRICO </t>
  </si>
  <si>
    <t>CANULA AKAHOSHI HIDRODISECCION</t>
  </si>
  <si>
    <t xml:space="preserve"> ASICO</t>
  </si>
  <si>
    <t>DRA NORA GOMEZ</t>
  </si>
  <si>
    <t>COLOR ROJO</t>
  </si>
  <si>
    <t>GRISDE</t>
  </si>
  <si>
    <t>SEGOL</t>
  </si>
  <si>
    <t>UNA NO TIENE MARCA</t>
  </si>
  <si>
    <t>DR. VICTOR TORRES</t>
  </si>
  <si>
    <t>COLOR AMARILLO DE PUNTOS/AZUL</t>
  </si>
  <si>
    <t>ETS</t>
  </si>
  <si>
    <t>S5-1240</t>
  </si>
  <si>
    <t>6-1009</t>
  </si>
  <si>
    <t>PINZA DE CONJUNTIVA</t>
  </si>
  <si>
    <t>4-2301T</t>
  </si>
  <si>
    <t>FRIME</t>
  </si>
  <si>
    <t>FT101401</t>
  </si>
  <si>
    <t>4-0600S</t>
  </si>
  <si>
    <t xml:space="preserve">VSAFEGUARD </t>
  </si>
  <si>
    <t>SI-VSG-4051-0623</t>
  </si>
  <si>
    <t>4-058T</t>
  </si>
  <si>
    <t>TOWOT</t>
  </si>
  <si>
    <t>SA14</t>
  </si>
  <si>
    <t>TIJERAS WESCOTT</t>
  </si>
  <si>
    <t>11-048</t>
  </si>
  <si>
    <t>7-063</t>
  </si>
  <si>
    <t>CANULA #11</t>
  </si>
  <si>
    <t>CANULA #19</t>
  </si>
  <si>
    <t xml:space="preserve">AKAJOSHI </t>
  </si>
  <si>
    <t>MICROTIJERA</t>
  </si>
  <si>
    <t>EQUIPO CATARATA DRA VANESSA ISHIKANE</t>
  </si>
  <si>
    <t>DRA: MELISA MEDINA</t>
  </si>
  <si>
    <t>ASA DE SNELLEN</t>
  </si>
  <si>
    <t>WESCOT</t>
  </si>
  <si>
    <t>PRE CHOPPER ESCAF</t>
  </si>
  <si>
    <t>TENON</t>
  </si>
  <si>
    <t>2-391</t>
  </si>
  <si>
    <t>CHPPER VERTICAL</t>
  </si>
  <si>
    <t>7-1251</t>
  </si>
  <si>
    <t>PINZA FUERTE</t>
  </si>
  <si>
    <t>CANULA AKA JOSI</t>
  </si>
  <si>
    <t>CANUSA SUBTENO</t>
  </si>
  <si>
    <t xml:space="preserve"> DRA MILENA BARANDICA </t>
  </si>
  <si>
    <t>DRA ANDREA CELEMIN</t>
  </si>
  <si>
    <t>4-0311T - N/A</t>
  </si>
  <si>
    <t>E-1400</t>
  </si>
  <si>
    <t>SHOPPER</t>
  </si>
  <si>
    <t>FRESA</t>
  </si>
  <si>
    <t>PORTA FRESA</t>
  </si>
  <si>
    <t>ROTADOR KUGLAN</t>
  </si>
  <si>
    <t xml:space="preserve">OSW TITAN </t>
  </si>
  <si>
    <t xml:space="preserve">PINZA RELOJERO </t>
  </si>
  <si>
    <t xml:space="preserve">DRA NOHORA GOMEZ </t>
  </si>
  <si>
    <t>EPSON</t>
  </si>
  <si>
    <t>DRA URZULA NAVARRO</t>
  </si>
  <si>
    <t xml:space="preserve">INSTRUMENTAL ESPECIALIZADO </t>
  </si>
  <si>
    <t>25508-25844</t>
  </si>
  <si>
    <t xml:space="preserve">PORTA AGUJA </t>
  </si>
  <si>
    <t>PRICON</t>
  </si>
  <si>
    <t>65-599</t>
  </si>
  <si>
    <t>GN</t>
  </si>
  <si>
    <t>G1-1230</t>
  </si>
  <si>
    <t>K5-5082</t>
  </si>
  <si>
    <t>EQUIPO DALK DRA JUANA LONDOÑO</t>
  </si>
  <si>
    <t>DISECTOR</t>
  </si>
  <si>
    <t>DRA. HILDEGARD PIÑEROS</t>
  </si>
  <si>
    <t>11-00381S</t>
  </si>
  <si>
    <t>PINZA #20</t>
  </si>
  <si>
    <t>S80</t>
  </si>
  <si>
    <t>110381S</t>
  </si>
  <si>
    <t>RUMEX - SPEEDWAY DELHI</t>
  </si>
  <si>
    <t>15-450 - N/A</t>
  </si>
  <si>
    <t>CANULA PARA LASIK 25G</t>
  </si>
  <si>
    <t>CANULA DE AKAHOSHI</t>
  </si>
  <si>
    <t>DR LUIS CARLOS ESCAF</t>
  </si>
  <si>
    <t>PINZA PARA ANUDAR RECTA</t>
  </si>
  <si>
    <t>PINZA PARA ANUDAR CURVA</t>
  </si>
  <si>
    <t>DR. ERICK ALVAREZ CATARATA</t>
  </si>
  <si>
    <t>CHOPPER VERTICAL MINARDI</t>
  </si>
  <si>
    <t>PINZA ANUDADORA CURVA</t>
  </si>
  <si>
    <t>4-186S</t>
  </si>
  <si>
    <t>PORTAGUJAS FINO</t>
  </si>
  <si>
    <t>PORTAGUAS</t>
  </si>
  <si>
    <t>SENOS PARANASALES</t>
  </si>
  <si>
    <t>ACCESORIO OTORRINO</t>
  </si>
  <si>
    <t>Disector bolita</t>
  </si>
  <si>
    <t>SPIGGLE&amp;THEIS</t>
  </si>
  <si>
    <t>30-207-02</t>
  </si>
  <si>
    <t>Martillo</t>
  </si>
  <si>
    <t>PM 32-19</t>
  </si>
  <si>
    <t>Canula aspiracion</t>
  </si>
  <si>
    <t>30-100-30</t>
  </si>
  <si>
    <t>Disector free</t>
  </si>
  <si>
    <t>MILTEX</t>
  </si>
  <si>
    <t>100088-1405</t>
  </si>
  <si>
    <t>Pinza Blackley gruesa</t>
  </si>
  <si>
    <t>46-22303</t>
  </si>
  <si>
    <t>Diseccion Adson C/G</t>
  </si>
  <si>
    <t>Pinza Takahashi - recta</t>
  </si>
  <si>
    <t>32-20</t>
  </si>
  <si>
    <t>Disector penfree (curvo)</t>
  </si>
  <si>
    <t>PAM-15123</t>
  </si>
  <si>
    <t>Pinza Takahashi -arriba</t>
  </si>
  <si>
    <t>PAM32-21</t>
  </si>
  <si>
    <t>Diseccion bayoneta</t>
  </si>
  <si>
    <t>PAKISTAN</t>
  </si>
  <si>
    <t>Pinza copa -arriba</t>
  </si>
  <si>
    <t>30-405-02</t>
  </si>
  <si>
    <t xml:space="preserve">Canula de frazier </t>
  </si>
  <si>
    <t>30-080-08</t>
  </si>
  <si>
    <t>Pinza copa - abajo</t>
  </si>
  <si>
    <t>30-310-02</t>
  </si>
  <si>
    <t xml:space="preserve">Disector de cottle </t>
  </si>
  <si>
    <t>Tijera recta (endoscopia)</t>
  </si>
  <si>
    <t>KS-5200</t>
  </si>
  <si>
    <t xml:space="preserve">Gancho doble </t>
  </si>
  <si>
    <t>Pinza Blackley RECTA</t>
  </si>
  <si>
    <t>12-24114</t>
  </si>
  <si>
    <t>TIJERA RECTA</t>
  </si>
  <si>
    <t>20-690-02</t>
  </si>
  <si>
    <t>Mosquito curva</t>
  </si>
  <si>
    <t>CORTE VERDADERO RETROGRADO</t>
  </si>
  <si>
    <t>30-304-25</t>
  </si>
  <si>
    <t>Rinoscopio</t>
  </si>
  <si>
    <t>PAM 10-16</t>
  </si>
  <si>
    <t>PINZA COCODRILO RECTA</t>
  </si>
  <si>
    <t>Pinza Kerrison</t>
  </si>
  <si>
    <t>DESPERIOSTIZADOR</t>
  </si>
  <si>
    <t>PAC-55.17</t>
  </si>
  <si>
    <t xml:space="preserve">Tijera de mayo </t>
  </si>
  <si>
    <t>separador de farabeauf</t>
  </si>
  <si>
    <t>18.102.15</t>
  </si>
  <si>
    <t>baby Mosquito curva</t>
  </si>
  <si>
    <t>milton</t>
  </si>
  <si>
    <t>EQUIPO DE NARIZ</t>
  </si>
  <si>
    <t>EQUIPO DE OIDO</t>
  </si>
  <si>
    <t>COLOR NEGRO</t>
  </si>
  <si>
    <t>VALVA DE PESO</t>
  </si>
  <si>
    <t>SPIGGLE</t>
  </si>
  <si>
    <t>20-865-50</t>
  </si>
  <si>
    <t>ADAPTADOR DE ASPIRADOR</t>
  </si>
  <si>
    <t>13-91508</t>
  </si>
  <si>
    <t>CANULAS DE MICROASPIRACION DE OIDO</t>
  </si>
  <si>
    <t>SEPARADOR FARABEAUF</t>
  </si>
  <si>
    <t>AESCULAP</t>
  </si>
  <si>
    <t>BT 20</t>
  </si>
  <si>
    <t>CANULA DE ASPIRACION DE OIDO</t>
  </si>
  <si>
    <t>PORTAGUJA</t>
  </si>
  <si>
    <t>24.180116/2413013</t>
  </si>
  <si>
    <t>UNO GRANDE Y PEQUEÑO</t>
  </si>
  <si>
    <t>TIJERA DE OIDO</t>
  </si>
  <si>
    <t>REDA</t>
  </si>
  <si>
    <t>453.12-55</t>
  </si>
  <si>
    <t>BH 135</t>
  </si>
  <si>
    <t>PINZA CAIMAN</t>
  </si>
  <si>
    <t>PAC 220.08</t>
  </si>
  <si>
    <t>SKLARLITE XD</t>
  </si>
  <si>
    <t>BH 134</t>
  </si>
  <si>
    <t>OTOSCOPIOS</t>
  </si>
  <si>
    <t>ROCHESTER CURVA</t>
  </si>
  <si>
    <t>BH 443</t>
  </si>
  <si>
    <t>BISTURI DE OIDO</t>
  </si>
  <si>
    <t>10-29118</t>
  </si>
  <si>
    <t>ROCHESTER RECTA</t>
  </si>
  <si>
    <t>VALVE LINE JE</t>
  </si>
  <si>
    <t>VE 2752</t>
  </si>
  <si>
    <t>DISECTOR DE OIDO</t>
  </si>
  <si>
    <t>TIJERA DE CORNETE</t>
  </si>
  <si>
    <t>PREFESIONAL STANLEYS</t>
  </si>
  <si>
    <t>PAM 50.13</t>
  </si>
  <si>
    <t>PICA ANGULADA</t>
  </si>
  <si>
    <t>TIJERA DE IRIS</t>
  </si>
  <si>
    <t>STEEFENS</t>
  </si>
  <si>
    <t>PICA CURVA</t>
  </si>
  <si>
    <t>10625-02</t>
  </si>
  <si>
    <t>TIJERA DE MAYO</t>
  </si>
  <si>
    <t>BISTURI FINO DE OIDO</t>
  </si>
  <si>
    <t>CANULA DE FRASIER</t>
  </si>
  <si>
    <t>6.8.12</t>
  </si>
  <si>
    <t>CUCHARILLAS DE CERUMEN</t>
  </si>
  <si>
    <t>DISECCION EN BAYONETA</t>
  </si>
  <si>
    <t>PROFESIONA STANLEY</t>
  </si>
  <si>
    <t>UNA PARTIDA</t>
  </si>
  <si>
    <t>CURETA DOBLE DE HUESO</t>
  </si>
  <si>
    <t>ADSON BRAWN</t>
  </si>
  <si>
    <t>SIN GARRA</t>
  </si>
  <si>
    <t>GANCHO DE ROSEN</t>
  </si>
  <si>
    <t>DISECCION C/G</t>
  </si>
  <si>
    <t>10.120.14</t>
  </si>
  <si>
    <t>GANCHO ROSEN 45°</t>
  </si>
  <si>
    <t>TIJERA PUNTA NASAL</t>
  </si>
  <si>
    <t>SPINGGLE &amp; THEIS</t>
  </si>
  <si>
    <t>20-630-15</t>
  </si>
  <si>
    <t>CUCHILLO PARA CORTE REDONDO</t>
  </si>
  <si>
    <t>ADSON C/G</t>
  </si>
  <si>
    <t>100127-1501</t>
  </si>
  <si>
    <t xml:space="preserve"> DISECTOR OIDO FINO</t>
  </si>
  <si>
    <t>MARTILLO</t>
  </si>
  <si>
    <t>RASPAS</t>
  </si>
  <si>
    <t>21-343</t>
  </si>
  <si>
    <t>MANGO BISTURI 3</t>
  </si>
  <si>
    <t>CINCEL</t>
  </si>
  <si>
    <t>MARINA MEDICAL</t>
  </si>
  <si>
    <t>200-165</t>
  </si>
  <si>
    <t>BISTURI DE COTTLE</t>
  </si>
  <si>
    <t>DIMEDA STAINLESS STEEL</t>
  </si>
  <si>
    <t>46-380.5</t>
  </si>
  <si>
    <t>PINZA EN BAYONETA LARGA</t>
  </si>
  <si>
    <t>PROFESSIONAL STAINLESS</t>
  </si>
  <si>
    <t>EQUIPO DE AMIGDALA</t>
  </si>
  <si>
    <t>PINZA DISECION SIN GARRA</t>
  </si>
  <si>
    <t>DIMEDA GERMANY STAINLESS</t>
  </si>
  <si>
    <t>10.106.14</t>
  </si>
  <si>
    <t>MANGO DE BISTURI 7</t>
  </si>
  <si>
    <t>06.1007.00</t>
  </si>
  <si>
    <t xml:space="preserve">ESPECULO DE VIENA </t>
  </si>
  <si>
    <t>PRESIONAL</t>
  </si>
  <si>
    <t>UNO ES AUTOESTATICO</t>
  </si>
  <si>
    <t xml:space="preserve">ABRE BOCA + 3 VALVAS </t>
  </si>
  <si>
    <t>48-320</t>
  </si>
  <si>
    <t>ESPECULO DE VIENA KILIAN</t>
  </si>
  <si>
    <t>GESCO</t>
  </si>
  <si>
    <t>BF433R</t>
  </si>
  <si>
    <t>NO FUNCIONA</t>
  </si>
  <si>
    <t>KILIAN AUTOESTATICO</t>
  </si>
  <si>
    <t>SPENGGLE THEIS</t>
  </si>
  <si>
    <t xml:space="preserve">TIJERA DE MAYO </t>
  </si>
  <si>
    <t>ESPECULO NASAL DE COTLE</t>
  </si>
  <si>
    <t>DERECHA E ISQUIERDA</t>
  </si>
  <si>
    <t>PINZAS ALLIS</t>
  </si>
  <si>
    <t>OTRA SE DAÑÓ</t>
  </si>
  <si>
    <t>DOBLE ABOTONADO</t>
  </si>
  <si>
    <t xml:space="preserve">DOBLE ABOTONADO </t>
  </si>
  <si>
    <t>N-4750</t>
  </si>
  <si>
    <t>STANLEY</t>
  </si>
  <si>
    <t>GN376</t>
  </si>
  <si>
    <t>24.130.13</t>
  </si>
  <si>
    <t>TIJERA DE METZEMBAUM</t>
  </si>
  <si>
    <t>08-28.120</t>
  </si>
  <si>
    <t>DISECTOR DE COTLE</t>
  </si>
  <si>
    <t>21-60</t>
  </si>
  <si>
    <t>KELLY ADSON</t>
  </si>
  <si>
    <t>13-365-18</t>
  </si>
  <si>
    <t xml:space="preserve">SPARTA </t>
  </si>
  <si>
    <t>41-500</t>
  </si>
  <si>
    <t>DISECCION S/G</t>
  </si>
  <si>
    <t xml:space="preserve">GANCHO DOBLE  DE PIEL </t>
  </si>
  <si>
    <t>DISECTOR DE HURD</t>
  </si>
  <si>
    <t>50-131-22</t>
  </si>
  <si>
    <t>SE SACA</t>
  </si>
  <si>
    <t xml:space="preserve">AUFREE </t>
  </si>
  <si>
    <t>DOBLE Y SENCILLO</t>
  </si>
  <si>
    <t>DISECTOR PALO DE GOLF</t>
  </si>
  <si>
    <t>50-136-22</t>
  </si>
  <si>
    <t xml:space="preserve">GANCHO SENCILLO DE PIEL </t>
  </si>
  <si>
    <t>ESPEJO LARINGEO</t>
  </si>
  <si>
    <t>52-272-20</t>
  </si>
  <si>
    <t xml:space="preserve">TIJERA DE FOMON </t>
  </si>
  <si>
    <t>ADENOTOMO DE FORCEPS</t>
  </si>
  <si>
    <t>48630-04</t>
  </si>
  <si>
    <t>RASPAS NASALES</t>
  </si>
  <si>
    <t>CANULA DE YANKAWER</t>
  </si>
  <si>
    <t xml:space="preserve">PROFESSIONAL STAINLESS </t>
  </si>
  <si>
    <t>PB-30-00</t>
  </si>
  <si>
    <t>KERRINSON</t>
  </si>
  <si>
    <t>ABREBOCAS MCIVOR</t>
  </si>
  <si>
    <t>40-305-00</t>
  </si>
  <si>
    <t>TIJERA HEIMAN</t>
  </si>
  <si>
    <t>DISECTOR DE FISHER</t>
  </si>
  <si>
    <t>40-484-22</t>
  </si>
  <si>
    <t>ADSON BRAUM</t>
  </si>
  <si>
    <t>DISECTORDE HURD</t>
  </si>
  <si>
    <t>40-386-23</t>
  </si>
  <si>
    <t xml:space="preserve">PINZA BAYONETA </t>
  </si>
  <si>
    <t>PINZAS BABY ALLIX</t>
  </si>
  <si>
    <t>80-401-16</t>
  </si>
  <si>
    <t xml:space="preserve">DISECTOR ASPIRADOR </t>
  </si>
  <si>
    <t>VALVA ABREBOCA #1</t>
  </si>
  <si>
    <t>40-315-01</t>
  </si>
  <si>
    <t xml:space="preserve">MANDRIL DISECTOR </t>
  </si>
  <si>
    <t>VALVA ABREBOCA #2</t>
  </si>
  <si>
    <t>40-315-02</t>
  </si>
  <si>
    <t>VALVA ABREBOCA #3</t>
  </si>
  <si>
    <t>40-315-03</t>
  </si>
  <si>
    <t>EQUIPO DE PEQUEÑA DE CIRUGIA</t>
  </si>
  <si>
    <t>EQUIPO DE LARIGE</t>
  </si>
  <si>
    <t>PINZA ADSON SIN GARRA</t>
  </si>
  <si>
    <t>PF-15.15</t>
  </si>
  <si>
    <t xml:space="preserve">SOPORTE TORAXICO </t>
  </si>
  <si>
    <t>KARL STORZ</t>
  </si>
  <si>
    <t>8575KB</t>
  </si>
  <si>
    <t>VALVAS MALEABLES</t>
  </si>
  <si>
    <t>LARINGOS</t>
  </si>
  <si>
    <t>8590C</t>
  </si>
  <si>
    <t>UNION DE SOPORTE</t>
  </si>
  <si>
    <t>8575KA</t>
  </si>
  <si>
    <t>DISECTOR DE LARINGE</t>
  </si>
  <si>
    <t>12.240.14</t>
  </si>
  <si>
    <t>CANULA DE ASPIRACION LARINGE</t>
  </si>
  <si>
    <t>ALLYS</t>
  </si>
  <si>
    <t>TIJERA ANGULADA</t>
  </si>
  <si>
    <t>8589 B</t>
  </si>
  <si>
    <t>8594 A</t>
  </si>
  <si>
    <t>MANGO BISTURI 4</t>
  </si>
  <si>
    <t>06.104.00</t>
  </si>
  <si>
    <t xml:space="preserve">PINZA DE LARINGE COCODRILO </t>
  </si>
  <si>
    <t>8593 C/8593 E</t>
  </si>
  <si>
    <t>PJ-23.18</t>
  </si>
  <si>
    <t>PINZA DE COPA</t>
  </si>
  <si>
    <t xml:space="preserve"> SPENGGLES &amp; THEIS</t>
  </si>
  <si>
    <t>50-501-1</t>
  </si>
  <si>
    <t>PF 1615</t>
  </si>
  <si>
    <t>PINZA BOCA DE PATO</t>
  </si>
  <si>
    <t>8593 H</t>
  </si>
  <si>
    <t>DISECTOR FREE</t>
  </si>
  <si>
    <t>ELEVADOR DE PERIOSTIO</t>
  </si>
  <si>
    <t>PAC 5517</t>
  </si>
  <si>
    <t>CANULA DE FRASIER 12</t>
  </si>
  <si>
    <t>30-080-12</t>
  </si>
  <si>
    <t>SEPARADOR DE FARABEAUF</t>
  </si>
  <si>
    <t>SPAKISTAN</t>
  </si>
  <si>
    <t>08.281.19</t>
  </si>
  <si>
    <t>PINZA ADSON CON GARRA</t>
  </si>
  <si>
    <t>PF-16.15</t>
  </si>
  <si>
    <t>EQUIPO DE SENOS PARANASALES</t>
  </si>
  <si>
    <t>· 1 ASPIRADOR CURVO</t>
  </si>
  <si>
    <t>· 1 TIJERA ENDOSCOPIA</t>
  </si>
  <si>
    <t>· 1 PINZA BLACKESLEY GRANDE</t>
  </si>
  <si>
    <t>· 1 PINZA BLACKESLEY DELGADA</t>
  </si>
  <si>
    <t>· 1 PINZA TAKAHASHI RECTA</t>
  </si>
  <si>
    <t>· 2 PINZAS TAKAHASHI CURVA HACIA ARRIBA</t>
  </si>
  <si>
    <t>· 1 PINZA CORTE RETROGRADO</t>
  </si>
  <si>
    <t>· 1 PINZA JIRAFA( COPA HACIA ARRIBA)</t>
  </si>
  <si>
    <t>· 1 PINZA CORTE VERDADERO CURVA HACIA ABAJO</t>
  </si>
  <si>
    <t>· 1 PINZA HARTMAN</t>
  </si>
  <si>
    <t>CHALAZION #2</t>
  </si>
  <si>
    <t>CHALAZION #1</t>
  </si>
  <si>
    <t xml:space="preserve">Pinza de chalazion </t>
  </si>
  <si>
    <t>STORZ/GERMANY</t>
  </si>
  <si>
    <t>E-2604/E-2600</t>
  </si>
  <si>
    <t xml:space="preserve">3 SOLO TIENE 2 </t>
  </si>
  <si>
    <t>E-2604</t>
  </si>
  <si>
    <t>SOLO HAY 2 Y U NA NO TIENE REFERENCIA, SOLO HAY 2 Y UNA PINZA BIPOLAR</t>
  </si>
  <si>
    <t>G51-301</t>
  </si>
  <si>
    <t>SE CAMBIA X 1 GUSOR-  NO TIENE GARRA</t>
  </si>
  <si>
    <t>13072r</t>
  </si>
  <si>
    <t>SE CAMBIA POR UNA FRANCE</t>
  </si>
  <si>
    <t>PZA.12</t>
  </si>
  <si>
    <t>Cureta (cucharilla Chalazion)</t>
  </si>
  <si>
    <t>16-065</t>
  </si>
  <si>
    <t>BIPOLAR</t>
  </si>
  <si>
    <t xml:space="preserve">CURETA </t>
  </si>
  <si>
    <t>SE CAMBIA .12 POR .12 GUSOR SEPT-09-2023</t>
  </si>
  <si>
    <t>CHALAZION #3</t>
  </si>
  <si>
    <t xml:space="preserve">cureta </t>
  </si>
  <si>
    <t>16-066</t>
  </si>
  <si>
    <t>16-064</t>
  </si>
  <si>
    <t xml:space="preserve">VIAS LAGRIMALES </t>
  </si>
  <si>
    <t>G28-9203</t>
  </si>
  <si>
    <t>DILATADOR DOBLE</t>
  </si>
  <si>
    <t>GANCHO</t>
  </si>
  <si>
    <t>SONDA BOWMAN 0-00</t>
  </si>
  <si>
    <t>SONDA BOWMAN 000-0000</t>
  </si>
  <si>
    <t xml:space="preserve">NO ESTA </t>
  </si>
  <si>
    <t>SONDA BOWMAN 0</t>
  </si>
  <si>
    <t>SONDA BOWMAN 1/2</t>
  </si>
  <si>
    <t>SONDA BOWMAN 1-2</t>
  </si>
  <si>
    <t>CANULA 23</t>
  </si>
  <si>
    <t>SONDA BOWMAN 3-4</t>
  </si>
  <si>
    <t>SONDA BOWMAN 5-6</t>
  </si>
  <si>
    <t>11-058</t>
  </si>
  <si>
    <t>SONDA BOWMAN 7-8</t>
  </si>
  <si>
    <t>V</t>
  </si>
  <si>
    <t>SONDA VIAS LAGRIMALES</t>
  </si>
  <si>
    <t>FCI</t>
  </si>
  <si>
    <t>S1-1460U</t>
  </si>
  <si>
    <t>AMARILLO/ ROJO</t>
  </si>
  <si>
    <t>DILATADOR VIA L. PEQUEÑO</t>
  </si>
  <si>
    <t>9-051</t>
  </si>
  <si>
    <t xml:space="preserve">DILATADOR DOBLE </t>
  </si>
  <si>
    <t>9-011-S</t>
  </si>
  <si>
    <t>CANULA MACKENTAIN</t>
  </si>
  <si>
    <t xml:space="preserve">PORTAGUJAS </t>
  </si>
  <si>
    <t>STAYNLESS</t>
  </si>
  <si>
    <t>D609/2</t>
  </si>
  <si>
    <t>TIEJRA DE VANNAS</t>
  </si>
  <si>
    <t xml:space="preserve">RESCATADOR DE NUDO </t>
  </si>
  <si>
    <t>SONDA BOWMAN 00</t>
  </si>
  <si>
    <t xml:space="preserve">FEMTOLASIK- FEMTO ANILLO </t>
  </si>
  <si>
    <t>EQ. DE ANILLOS</t>
  </si>
  <si>
    <t>SE UNIFICÓ EL EQUIPO CON EL DE FEMTOLASIK</t>
  </si>
  <si>
    <t>blafaro colibri</t>
  </si>
  <si>
    <t xml:space="preserve">Marcador de rexis de centro </t>
  </si>
  <si>
    <t>DAÑADO se saca</t>
  </si>
  <si>
    <t>Blefaro colibri azul</t>
  </si>
  <si>
    <t>Mango de bisturi #3</t>
  </si>
  <si>
    <t>06-10300</t>
  </si>
  <si>
    <t>Blefaro valva</t>
  </si>
  <si>
    <t>Blefaro colibri plano</t>
  </si>
  <si>
    <t>tijera vannas</t>
  </si>
  <si>
    <t>carge</t>
  </si>
  <si>
    <t>2-110</t>
  </si>
  <si>
    <t xml:space="preserve">Pinza mcpherson para segmento </t>
  </si>
  <si>
    <t>5 England</t>
  </si>
  <si>
    <t>Gancho</t>
  </si>
  <si>
    <t>DUCKWORTH</t>
  </si>
  <si>
    <t>6-251</t>
  </si>
  <si>
    <t xml:space="preserve">Marcador de cornea central </t>
  </si>
  <si>
    <t>9-789w-1</t>
  </si>
  <si>
    <t>4-058</t>
  </si>
  <si>
    <t>ESpatula para el flap corneal</t>
  </si>
  <si>
    <t>Espatula para el flap corneal</t>
  </si>
  <si>
    <t>K3-2530</t>
  </si>
  <si>
    <t>Gancho sinskey</t>
  </si>
  <si>
    <t>VEJARANO</t>
  </si>
  <si>
    <t>Gancho sinskey invertido</t>
  </si>
  <si>
    <t>636-2400</t>
  </si>
  <si>
    <t>Gancho siskey invertido</t>
  </si>
  <si>
    <t>E2030</t>
  </si>
  <si>
    <t>speddway</t>
  </si>
  <si>
    <t>Canula irrigacion doble vidaurri</t>
  </si>
  <si>
    <t>1-11-012S</t>
  </si>
  <si>
    <t>K6-3753</t>
  </si>
  <si>
    <t>ZABBYS</t>
  </si>
  <si>
    <t>Pinza de segmento</t>
  </si>
  <si>
    <t>D1226-11</t>
  </si>
  <si>
    <t xml:space="preserve">Pinza relojero </t>
  </si>
  <si>
    <t>Marcador de 4 radios</t>
  </si>
  <si>
    <t>Marcador 2 radios 7.5-9.0</t>
  </si>
  <si>
    <t>Marcador vejarano</t>
  </si>
  <si>
    <t>5-0</t>
  </si>
  <si>
    <t>total:</t>
  </si>
  <si>
    <t>EQUIPO ARTIFLEX</t>
  </si>
  <si>
    <t>PINZA IMPLANTACION IZQUIERDA</t>
  </si>
  <si>
    <t>ARTIFLEX</t>
  </si>
  <si>
    <t>PINZA IMPLANTACION DERECHA</t>
  </si>
  <si>
    <t>PRECHOPPER DRA MELO</t>
  </si>
  <si>
    <t>EQUIPO PARA LENTE ICL/FAQUICO</t>
  </si>
  <si>
    <t xml:space="preserve">PINZA IMPLANTACION  </t>
  </si>
  <si>
    <t>AE4446 25303/10</t>
  </si>
  <si>
    <t>EQUIPO TORICO DRA MELO</t>
  </si>
  <si>
    <t>INYECTOR AZUL</t>
  </si>
  <si>
    <t>STAAR SURGICAL</t>
  </si>
  <si>
    <t>MARCADOR CORNEAL</t>
  </si>
  <si>
    <t>FRIMEN</t>
  </si>
  <si>
    <t>INSTRUMENTAL</t>
  </si>
  <si>
    <t>EQUIPO CROSSLINKING</t>
  </si>
  <si>
    <t>TIJERA DE CORTAR LENTE</t>
  </si>
  <si>
    <t>4-2173D</t>
  </si>
  <si>
    <t>MARCADOR CORNEAL  8-9</t>
  </si>
  <si>
    <t>MARCADOR CORNEAL  6.0</t>
  </si>
  <si>
    <t>E-9011</t>
  </si>
  <si>
    <t xml:space="preserve">MARCADOR CORNEAL </t>
  </si>
  <si>
    <t>ESPATULA DE QUIMURA</t>
  </si>
  <si>
    <t>A.HEISS</t>
  </si>
  <si>
    <t>ESPATULA DELGADA</t>
  </si>
  <si>
    <t>BLEFARO DE COLIBRI</t>
  </si>
  <si>
    <t>ESPATULA FEMTOCATARATA</t>
  </si>
  <si>
    <t>20-204</t>
  </si>
  <si>
    <t>MARCADORES DE REXIS</t>
  </si>
  <si>
    <t>ESPATULAS DE CORNEA</t>
  </si>
  <si>
    <t>MARCADOR REXIS 5.0</t>
  </si>
  <si>
    <t>ESPATULA TRIANGULAR</t>
  </si>
  <si>
    <t>DORC HOLLAND</t>
  </si>
  <si>
    <t>MARCADOR REXIS DOBLE 5.5- 6.0</t>
  </si>
  <si>
    <t>3-040</t>
  </si>
  <si>
    <t>ESPATULA CORTA</t>
  </si>
  <si>
    <t>ESPATULA LARGA</t>
  </si>
  <si>
    <t xml:space="preserve">MICRO PINZAS </t>
  </si>
  <si>
    <t>4-2150D</t>
  </si>
  <si>
    <t>PINZA COCODRILO CURVA</t>
  </si>
  <si>
    <t>GONIOSCOPIO</t>
  </si>
  <si>
    <t>OHSG-LH</t>
  </si>
  <si>
    <t>AGUJA WHRIGHT</t>
  </si>
  <si>
    <t>LENTE ARTISAN</t>
  </si>
  <si>
    <t xml:space="preserve">PINZA IMPLANTACION </t>
  </si>
  <si>
    <t>OPHTEC</t>
  </si>
  <si>
    <t>D02-72</t>
  </si>
  <si>
    <t>ROTADOR ARTISAN</t>
  </si>
  <si>
    <t xml:space="preserve">TIJERA STEVEN ACCESORIA </t>
  </si>
  <si>
    <t>EQUIPO CORTAR PUNTOS</t>
  </si>
  <si>
    <t>SET DE MARCACION TORICO</t>
  </si>
  <si>
    <t>TIJERA DE WESTCOTT RECTA</t>
  </si>
  <si>
    <t>BLEFARO COLIBRÍ</t>
  </si>
  <si>
    <t xml:space="preserve">CUCHILLETE DIAMANTE </t>
  </si>
  <si>
    <t xml:space="preserve">SONDA LAGRIUMAL </t>
  </si>
  <si>
    <t>S1-1460</t>
  </si>
  <si>
    <t>PTERIGION</t>
  </si>
  <si>
    <t>G7-3200</t>
  </si>
  <si>
    <t>Pinza .12</t>
  </si>
  <si>
    <t>ESTERIL</t>
  </si>
  <si>
    <t>TWEECCRMAN</t>
  </si>
  <si>
    <t>G51-3902</t>
  </si>
  <si>
    <t xml:space="preserve">CHALAZION </t>
  </si>
  <si>
    <t>PINZA CHALAZION</t>
  </si>
  <si>
    <t>4-1912T</t>
  </si>
  <si>
    <t>CUCHARILLA CHALAZION</t>
  </si>
  <si>
    <t xml:space="preserve"> 16-066</t>
  </si>
  <si>
    <t>MBISTURI #3</t>
  </si>
  <si>
    <t xml:space="preserve"> 06-103,00</t>
  </si>
  <si>
    <t>4-069S</t>
  </si>
  <si>
    <t>INVENTARIO INSTRUMENTAL ENVIADO A SANTA MARTA</t>
  </si>
  <si>
    <t>INVENTARIO INSTRUMENTAL ENVIADO A SANTA MARTA JULIO DE 2023</t>
  </si>
  <si>
    <t>CERAFINES</t>
  </si>
  <si>
    <t>SO-267</t>
  </si>
  <si>
    <t>SONDA DE BOWMAN 000-0000</t>
  </si>
  <si>
    <t>SEPARADOR DESMARRES GRANDE</t>
  </si>
  <si>
    <t>PINZA BONACCOLTO</t>
  </si>
  <si>
    <t>CURETA CHALAZION</t>
  </si>
  <si>
    <t>BLEFAROSTATO LIBERMAN</t>
  </si>
  <si>
    <t>TIJERA DE WESTCOTH</t>
  </si>
  <si>
    <t>11-042</t>
  </si>
  <si>
    <t>TIJERA PARA MUSCULO</t>
  </si>
  <si>
    <t>CUCHARILLA EVISCERACION</t>
  </si>
  <si>
    <t>16-061</t>
  </si>
  <si>
    <t>86-1010</t>
  </si>
  <si>
    <t>4-1907T</t>
  </si>
  <si>
    <t>PINZA FINA (RELOJERO)</t>
  </si>
  <si>
    <t>4-186</t>
  </si>
  <si>
    <t>GANCHITO PARA MUCOSA</t>
  </si>
  <si>
    <t>18.216.01</t>
  </si>
  <si>
    <t>INVENTARIO INSTRUMENTAL ENVIADO A SANTA MARTA ABRIL 14 DE 2023</t>
  </si>
  <si>
    <t>FEBRERO 26 DE 2024</t>
  </si>
  <si>
    <t xml:space="preserve">SE REPONE </t>
  </si>
  <si>
    <t>REF</t>
  </si>
  <si>
    <t>TIJERA DE ESTCOTT</t>
  </si>
  <si>
    <t>E33220</t>
  </si>
  <si>
    <t>GANCHO DE PIEL JOSEPH DOBLE</t>
  </si>
  <si>
    <t>18.216.05</t>
  </si>
  <si>
    <t>8-031T</t>
  </si>
  <si>
    <t>SEPARADOR MEDIABO DESMARRES</t>
  </si>
  <si>
    <t>18.230.08</t>
  </si>
  <si>
    <t>4-0607S</t>
  </si>
  <si>
    <t>PINZA .5 SIN CLIP</t>
  </si>
  <si>
    <t>PINZA PARA CHALAZION</t>
  </si>
  <si>
    <t>TIJERA STEVEN PUNTA FINA</t>
  </si>
  <si>
    <t>11-081</t>
  </si>
  <si>
    <t>PINZA BICHOHARTMAN SIN GARRA</t>
  </si>
  <si>
    <t>22-1557</t>
  </si>
  <si>
    <t>SEPARADOR GARRA</t>
  </si>
  <si>
    <t>PORTAGUJAS CASTROVIEJO CON CLIP</t>
  </si>
  <si>
    <t>RELACION DE INSTRUMENTAL SANTA MARTA</t>
  </si>
  <si>
    <t>nombre</t>
  </si>
  <si>
    <t>cantidad</t>
  </si>
  <si>
    <t>CONDICIONES</t>
  </si>
  <si>
    <t>OBSERVACION</t>
  </si>
  <si>
    <t>EQUIPO DE PTERIGION</t>
  </si>
  <si>
    <t>BUEN ESTADO</t>
  </si>
  <si>
    <t xml:space="preserve"> Tijera Wescott</t>
  </si>
  <si>
    <t>MAL ESTADO</t>
  </si>
  <si>
    <t>REQUIEREN AFILAR</t>
  </si>
  <si>
    <t>Pz punta 12</t>
  </si>
  <si>
    <t>3 BUEN ESTADO  1 MAL ESTADO</t>
  </si>
  <si>
    <t xml:space="preserve">1  PINZA TIENE LA PUNTA DOBLADA- 3 SI ESTAN EN BUEN ESTADO </t>
  </si>
  <si>
    <t>Pz relojera</t>
  </si>
  <si>
    <t>Blefarostato de lancaster</t>
  </si>
  <si>
    <t>Porta-aguja.</t>
  </si>
  <si>
    <t>Bipolar</t>
  </si>
  <si>
    <t>Pinza d/s con garra</t>
  </si>
  <si>
    <t xml:space="preserve">Fresa </t>
  </si>
  <si>
    <t>pz de chalazion grande</t>
  </si>
  <si>
    <t>EQUIPO DE CHALAZION</t>
  </si>
  <si>
    <t>pinza de chalazion pequeña</t>
  </si>
  <si>
    <t>cureta.</t>
  </si>
  <si>
    <t>Blefaros</t>
  </si>
  <si>
    <t>Gancho de musculo</t>
  </si>
  <si>
    <t>EQUIPO DE ESTRABISMO</t>
  </si>
  <si>
    <t>Tijera de musculo</t>
  </si>
  <si>
    <t>Blefaro lancaster</t>
  </si>
  <si>
    <t>Porta aguja con clip</t>
  </si>
  <si>
    <t>Pinza punto #12</t>
  </si>
  <si>
    <t>Pinza punto #3</t>
  </si>
  <si>
    <t>Blefaro de colibri</t>
  </si>
  <si>
    <t>EQUIPO APLICACION</t>
  </si>
  <si>
    <t>Medidores</t>
  </si>
  <si>
    <t>Mango de bisturie #3</t>
  </si>
  <si>
    <t xml:space="preserve">SE REQUIERE 1 MANGO </t>
  </si>
  <si>
    <t>EQUIPO DE FACO ESPECIALIZADO</t>
  </si>
  <si>
    <t xml:space="preserve">pinza  punto 12 </t>
  </si>
  <si>
    <t>LA PUNTA ESTA DOBLADA</t>
  </si>
  <si>
    <t xml:space="preserve">pz Beyker </t>
  </si>
  <si>
    <t>Pz lester</t>
  </si>
  <si>
    <t>Pz.Drisdell</t>
  </si>
  <si>
    <t>1 BUEN ESTADO 1 MAL ESTADO</t>
  </si>
  <si>
    <t>1 SE LE PARTIO LA PUNTA</t>
  </si>
  <si>
    <t>Divisor</t>
  </si>
  <si>
    <t xml:space="preserve">Sostenedor </t>
  </si>
  <si>
    <t xml:space="preserve"> Espatula de iris.</t>
  </si>
  <si>
    <t>Llave de punta de faco</t>
  </si>
  <si>
    <t>Canula de I/A</t>
  </si>
  <si>
    <t>Pz. Utrata</t>
  </si>
  <si>
    <t>Prechoper escaf</t>
  </si>
  <si>
    <t>1 PUNTA DOBLADA</t>
  </si>
  <si>
    <t>Manipuladores</t>
  </si>
  <si>
    <t>1 MAL ESTADO ESTA CURVA</t>
  </si>
  <si>
    <t xml:space="preserve">Choper </t>
  </si>
  <si>
    <t>SOLICITAR 3</t>
  </si>
  <si>
    <t>Pz. mcpherson</t>
  </si>
  <si>
    <t xml:space="preserve"> Asa de snellen </t>
  </si>
  <si>
    <t>Pinza con garra</t>
  </si>
  <si>
    <t xml:space="preserve">Pz punto 3 </t>
  </si>
  <si>
    <t>EQUIPO EXTRACAPSULAR DE FACO</t>
  </si>
  <si>
    <t>Tijera vannas</t>
  </si>
  <si>
    <t>Punta de bipolar</t>
  </si>
  <si>
    <t xml:space="preserve">Mango de bisturie #3 </t>
  </si>
  <si>
    <t>SOLICITAR 2 PARA CONJUNTIVA</t>
  </si>
  <si>
    <t>Porta-agujas fuerte</t>
  </si>
  <si>
    <t>Mango de Cistitomo.</t>
  </si>
  <si>
    <t>Burato</t>
  </si>
  <si>
    <t>Canula de Simcoe</t>
  </si>
  <si>
    <t>Pz.adson s/g</t>
  </si>
  <si>
    <t>1p</t>
  </si>
  <si>
    <t>EQUIPO DE RETINA</t>
  </si>
  <si>
    <t>NO TIENE BUEN AGARRE</t>
  </si>
  <si>
    <t>Porta plug</t>
  </si>
  <si>
    <t xml:space="preserve">Manipulador </t>
  </si>
  <si>
    <t>Rotador</t>
  </si>
  <si>
    <t xml:space="preserve"> porta- agujas </t>
  </si>
  <si>
    <t xml:space="preserve"> Blefarostato de lancaster</t>
  </si>
  <si>
    <t xml:space="preserve"> porta- agujas fuerte recto</t>
  </si>
  <si>
    <t>Pz.bipolar</t>
  </si>
  <si>
    <t>Pz kelly</t>
  </si>
  <si>
    <t>Desmarre</t>
  </si>
  <si>
    <t>Identador</t>
  </si>
  <si>
    <t>Compas castro viejo</t>
  </si>
  <si>
    <t>Tijera de steven</t>
  </si>
  <si>
    <t>Pz curva</t>
  </si>
  <si>
    <t>Mango canula de charles</t>
  </si>
  <si>
    <t>Pasa hilo</t>
  </si>
  <si>
    <t>Mango de bisturí</t>
  </si>
  <si>
    <t>ESTA OXIDADO</t>
  </si>
  <si>
    <t>Blefaro colibri</t>
  </si>
  <si>
    <t>Zinsky invertido</t>
  </si>
  <si>
    <t xml:space="preserve">Lente Bion </t>
  </si>
  <si>
    <t>Buratos</t>
  </si>
  <si>
    <t>Puntas de Faco posterior</t>
  </si>
  <si>
    <t>SOLICITAR OTRA PUNTA NORMAL</t>
  </si>
  <si>
    <t xml:space="preserve"> Blefaro colibri</t>
  </si>
  <si>
    <t>EQUIPO DE oculoplastia</t>
  </si>
  <si>
    <t xml:space="preserve">pinza  punto# 12 </t>
  </si>
  <si>
    <t>pz. serafin</t>
  </si>
  <si>
    <t>1 NO CIERRA BIEN</t>
  </si>
  <si>
    <t>Mango de bisturi # 3</t>
  </si>
  <si>
    <t>Tijera de westcott grande</t>
  </si>
  <si>
    <t>Pz cola de marrano</t>
  </si>
  <si>
    <t>Compas de castro viejo</t>
  </si>
  <si>
    <t>Pz punto #5</t>
  </si>
  <si>
    <t>Pz. Sin garra fina</t>
  </si>
  <si>
    <t xml:space="preserve"> porta- agujas fino</t>
  </si>
  <si>
    <t>Porta agujas castro viejo</t>
  </si>
  <si>
    <t xml:space="preserve"> porta- agujas fuerte </t>
  </si>
  <si>
    <t xml:space="preserve">Tijera de enucleacion </t>
  </si>
  <si>
    <t xml:space="preserve">Dilatadores </t>
  </si>
  <si>
    <t>Sep de nervio optico</t>
  </si>
  <si>
    <t>Cucharrilla de eviceracion med</t>
  </si>
  <si>
    <t>Cucharrilla de eviceracion peq</t>
  </si>
  <si>
    <t>Gancho de piel josept doble</t>
  </si>
  <si>
    <t>Separador mediano desmarre</t>
  </si>
  <si>
    <t>Puntas finas de electrocauterio</t>
  </si>
  <si>
    <t>Tijeras de plastia</t>
  </si>
  <si>
    <t>Pinza de campo</t>
  </si>
  <si>
    <t>Gancho fino</t>
  </si>
  <si>
    <t>Separador de rastrillo</t>
  </si>
  <si>
    <t>Canula de Frazier</t>
  </si>
  <si>
    <t>Cola de marrano</t>
  </si>
  <si>
    <t>PINZA PUTTERMAN</t>
  </si>
  <si>
    <t>SOLICITAR 2</t>
  </si>
  <si>
    <t xml:space="preserve">CLINICA OFTALMOLOGICA DEL CARIBE / SEDE VALLEDUPAR </t>
  </si>
  <si>
    <t xml:space="preserve">Fecha entrega:   DICIEMBRE 02 DE 2024 </t>
  </si>
  <si>
    <t>EQUIPO DE PTERIGION VERDE</t>
  </si>
  <si>
    <t>CATARATA BASICO # 8 (Amarillo – Verde)</t>
  </si>
  <si>
    <t xml:space="preserve">Nombre Cliente:   SEDE VALLEDUPAR ( ZOYLA GONZALEZ) </t>
  </si>
  <si>
    <t>1 mango de bisturi # 3</t>
  </si>
  <si>
    <t>1 pinza 0.12</t>
  </si>
  <si>
    <t>1 portaagujas</t>
  </si>
  <si>
    <t>1 blefararostato seltzer</t>
  </si>
  <si>
    <t>ITEM</t>
  </si>
  <si>
    <t>1 tijera de wescott</t>
  </si>
  <si>
    <t>1 prechoper escaf</t>
  </si>
  <si>
    <t>PINZA UTILITY CURVA ANUDADORA (CONSULTA)</t>
  </si>
  <si>
    <t>1 pinza utrata</t>
  </si>
  <si>
    <t>PINZA .12 (CONSULTA)</t>
  </si>
  <si>
    <t>1 pinza relojero</t>
  </si>
  <si>
    <t>1 gancho de kuglan</t>
  </si>
  <si>
    <t>552#5</t>
  </si>
  <si>
    <t>PINZA RELOJERO (CONSULTA)</t>
  </si>
  <si>
    <t>1 pinza de bipolar</t>
  </si>
  <si>
    <t>1 pinza Mcpherson</t>
  </si>
  <si>
    <t>5-SA VETUS</t>
  </si>
  <si>
    <t>1 espatula</t>
  </si>
  <si>
    <t>1 portaagujas Barraquer</t>
  </si>
  <si>
    <t>TIJERA DE VANNAS (CONSULTA)</t>
  </si>
  <si>
    <t>1 blefarostato</t>
  </si>
  <si>
    <t>TIJERA DE WESTCOTT (CONSULTA)</t>
  </si>
  <si>
    <t>1 gancho de sinskey</t>
  </si>
  <si>
    <t>1 choper horizontal</t>
  </si>
  <si>
    <t>4-058S RUMEX</t>
  </si>
  <si>
    <t>PINZA .12  (CIRUGIA)</t>
  </si>
  <si>
    <t>1 gancho becker</t>
  </si>
  <si>
    <t>1 gancho bifurcado lester</t>
  </si>
  <si>
    <t>EQUIPO DE PTERIGION ROJO:</t>
  </si>
  <si>
    <t xml:space="preserve">1 mango de bisturi # 3 </t>
  </si>
  <si>
    <t>1 pinza 0.12 (no funciona)</t>
  </si>
  <si>
    <t xml:space="preserve">INSTRUMENTAL </t>
  </si>
  <si>
    <t>2 pinza relojero</t>
  </si>
  <si>
    <t>G51-3001</t>
  </si>
  <si>
    <t>VIAS LAGRIMALES #2</t>
  </si>
  <si>
    <t>2 dilatadores de punto</t>
  </si>
  <si>
    <t>09.102.11</t>
  </si>
  <si>
    <t>1 sonda de bowman 0-00</t>
  </si>
  <si>
    <t>Tijera de westcott</t>
  </si>
  <si>
    <t>1 sonda bowman 7-8</t>
  </si>
  <si>
    <t>1 canula de acero #23</t>
  </si>
  <si>
    <t xml:space="preserve">ENTREGADO A MARLENYS </t>
  </si>
  <si>
    <t xml:space="preserve">* sonda 0-00 </t>
  </si>
  <si>
    <t>DAÑADA</t>
  </si>
  <si>
    <t>EQUIPO CERCLAJE #2</t>
  </si>
  <si>
    <t>1 tijera de stevens</t>
  </si>
  <si>
    <t>1 gancho de musculo</t>
  </si>
  <si>
    <t>CHALAZION</t>
  </si>
  <si>
    <t>1 gancho pasahilo</t>
  </si>
  <si>
    <t>1 retractor orbital</t>
  </si>
  <si>
    <t>Cureta</t>
  </si>
  <si>
    <t>1 compas castroviejo</t>
  </si>
  <si>
    <t>1 portagujas clip curvo</t>
  </si>
  <si>
    <t>1 portagujas clip recto</t>
  </si>
  <si>
    <t>EQUIPO DE OCULOPLASTIA # 5</t>
  </si>
  <si>
    <t>EQUIPO DE CATARATA #4 AMARILLO</t>
  </si>
  <si>
    <t>Blefarostatos colibri</t>
  </si>
  <si>
    <t>1 pinza .3</t>
  </si>
  <si>
    <t>Compas</t>
  </si>
  <si>
    <t>1 elevador de periostio</t>
  </si>
  <si>
    <t>Portaagujas</t>
  </si>
  <si>
    <t>1 sonda de bowman 0-0</t>
  </si>
  <si>
    <t>2 prechoper</t>
  </si>
  <si>
    <t>1 sonda de bowman 1-2</t>
  </si>
  <si>
    <t>Pieza I.A de Alcon</t>
  </si>
  <si>
    <t>1 sonda de bowman 3-4</t>
  </si>
  <si>
    <t>NO CORTA</t>
  </si>
  <si>
    <t>1 tijera de wescott de tenotomia</t>
  </si>
  <si>
    <t>Tijeras de westcot</t>
  </si>
  <si>
    <t>1 NO CORTA</t>
  </si>
  <si>
    <t>1 separador desmarres peq.</t>
  </si>
  <si>
    <t>1 pinza kerrinson med.</t>
  </si>
  <si>
    <t>1 separador de garra</t>
  </si>
  <si>
    <t>Pinza utratas</t>
  </si>
  <si>
    <t>1 blefarostato lancaster</t>
  </si>
  <si>
    <t>1 placa de jaeger para parpado</t>
  </si>
  <si>
    <t>Pinza 0.5</t>
  </si>
  <si>
    <t>1 clam putterman</t>
  </si>
  <si>
    <t>Pinza 0.3</t>
  </si>
  <si>
    <t xml:space="preserve">Pinza 0.12 </t>
  </si>
  <si>
    <t>1 NO FUNCIONA</t>
  </si>
  <si>
    <t>Pinza porta conector banda</t>
  </si>
  <si>
    <t>Asa de snell</t>
  </si>
  <si>
    <t>Espatula de iris</t>
  </si>
  <si>
    <t>Ganchos de kuglan</t>
  </si>
  <si>
    <t>Ganchos manipuladores</t>
  </si>
  <si>
    <t>Ganchos bifurcados</t>
  </si>
  <si>
    <t>Ganchos sostenedores</t>
  </si>
  <si>
    <t>CATARATA BASICO</t>
  </si>
  <si>
    <t>Ganchos sinskey</t>
  </si>
  <si>
    <t>Gancho divisor</t>
  </si>
  <si>
    <t xml:space="preserve">Llave de acero para pieza de mano </t>
  </si>
  <si>
    <t>Puntas ultrachoper</t>
  </si>
  <si>
    <t>Punta balance</t>
  </si>
  <si>
    <t>Punta de facofragmentacion</t>
  </si>
  <si>
    <t>EQUIPO FAVOVIT # 1 (esta empacafo esteril)</t>
  </si>
  <si>
    <t>GANCHO KULAN</t>
  </si>
  <si>
    <t>K15573</t>
  </si>
  <si>
    <t>ACCESORIOS</t>
  </si>
  <si>
    <t>K4-301</t>
  </si>
  <si>
    <t>1 inyector rumex para LIO</t>
  </si>
  <si>
    <t>1 pinza diseccion adson con garra</t>
  </si>
  <si>
    <t>1 pinza diseccion adson sin garra</t>
  </si>
  <si>
    <t>12 blefarostatos de colibri para terapias intravitreas</t>
  </si>
  <si>
    <t>1 pieza de mano INFINITY OZIL</t>
  </si>
  <si>
    <t>1 pieza de mano CONSTELLATION de facofragmentacion</t>
  </si>
  <si>
    <t>K55200</t>
  </si>
  <si>
    <t>K55215</t>
  </si>
  <si>
    <t>CANULAR DE CHALERS</t>
  </si>
  <si>
    <t>PINZA BABYMOSQUITO CURVA</t>
  </si>
  <si>
    <t xml:space="preserve">EQUIPO ESTRABISMO </t>
  </si>
  <si>
    <t>G57-1030</t>
  </si>
  <si>
    <t>1 pinza.12</t>
  </si>
  <si>
    <t>1 pinza Bonacolto</t>
  </si>
  <si>
    <t>G7-3600</t>
  </si>
  <si>
    <t xml:space="preserve">GANCHO MÚSCULO </t>
  </si>
  <si>
    <t xml:space="preserve">DESMARRES </t>
  </si>
  <si>
    <t>G60-4403</t>
  </si>
  <si>
    <t xml:space="preserve">TIJERA WESTCOT </t>
  </si>
  <si>
    <t>G64-8810</t>
  </si>
  <si>
    <t>1 tijera de vannas</t>
  </si>
  <si>
    <t>1 pinza jameson para estrabismo</t>
  </si>
  <si>
    <t>1 anillo de Mendez</t>
  </si>
  <si>
    <t>1 marcador de eje corneal</t>
  </si>
  <si>
    <t>ENVIADO 11 DE SEP/2023</t>
  </si>
  <si>
    <t>CLINICA OFTALMOLOGICA DEL CARIBE / SEDE RIOHACHA</t>
  </si>
  <si>
    <t>EQUIPO DE PTERIGION #1</t>
  </si>
  <si>
    <t>EQUIPO DE VIAS LAGRIMALES</t>
  </si>
  <si>
    <t>DILATADOR DE PUNTO LAGRIMAL</t>
  </si>
  <si>
    <t>G57-1010</t>
  </si>
  <si>
    <t>CANULA #23</t>
  </si>
  <si>
    <t>Tijera de wescott</t>
  </si>
  <si>
    <t>Pinza 0.12</t>
  </si>
  <si>
    <t>G51-4600</t>
  </si>
  <si>
    <t>Pinza de bipolar</t>
  </si>
  <si>
    <t>G31-3210</t>
  </si>
  <si>
    <t>Blefarostato</t>
  </si>
  <si>
    <t>G7-3201</t>
  </si>
  <si>
    <t>EQUIPO DE OCULOPLASTIA</t>
  </si>
  <si>
    <t>G36-3330</t>
  </si>
  <si>
    <t>Cureta chalazion 2.5</t>
  </si>
  <si>
    <t>G26 7004</t>
  </si>
  <si>
    <t>GANCHO DE PIEL UNICO</t>
  </si>
  <si>
    <t>G36-2910</t>
  </si>
  <si>
    <t>Pinza para chalazion</t>
  </si>
  <si>
    <t>G51-3815</t>
  </si>
  <si>
    <t>G36-2900</t>
  </si>
  <si>
    <t>G51-3800</t>
  </si>
  <si>
    <t>GANCHO DE MUSCULO SENCILLO</t>
  </si>
  <si>
    <t>G36-1002</t>
  </si>
  <si>
    <t>GANCHO DE MUSCULO CON OLIVA</t>
  </si>
  <si>
    <t>G36-1003</t>
  </si>
  <si>
    <t>NOPA</t>
  </si>
  <si>
    <t>G64-8800</t>
  </si>
  <si>
    <t>46.413.18</t>
  </si>
  <si>
    <t>G51-3002</t>
  </si>
  <si>
    <t>PINZA DISECCION CON GARRA</t>
  </si>
  <si>
    <t>PROTECTOR OCULAR LENGUA DE GATO</t>
  </si>
  <si>
    <t>G53-6000</t>
  </si>
  <si>
    <t>18.230.16</t>
  </si>
  <si>
    <t>EQUIPO DE PTERIGION #2</t>
  </si>
  <si>
    <t>42.129.07</t>
  </si>
  <si>
    <t>G22.3100</t>
  </si>
  <si>
    <t>G54-7200</t>
  </si>
  <si>
    <t>REPORTE DE INSTRUMENTAL AVERIADO</t>
  </si>
  <si>
    <t>FECHA</t>
  </si>
  <si>
    <t>REPORTANTE</t>
  </si>
  <si>
    <t>REPOSICION</t>
  </si>
  <si>
    <t>MANTENIMIENTO</t>
  </si>
  <si>
    <t>AGOSTO 04-22</t>
  </si>
  <si>
    <t>PTERIGION #1</t>
  </si>
  <si>
    <t>MONICA</t>
  </si>
  <si>
    <t>PRESTAMO BLEF. NUEVO A BETTYS</t>
  </si>
  <si>
    <t xml:space="preserve">INSTRUMENTAL RETINA PARA RIOHACHA </t>
  </si>
  <si>
    <t>CAJA GRANDE</t>
  </si>
  <si>
    <t>CAJA # 2</t>
  </si>
  <si>
    <t xml:space="preserve">TIJERA VANNAS </t>
  </si>
  <si>
    <t>OVATION</t>
  </si>
  <si>
    <t>DIMEDO GERMANY</t>
  </si>
  <si>
    <t xml:space="preserve">PUNTO 12 </t>
  </si>
  <si>
    <t xml:space="preserve">SE SACA PARA PTERIGION </t>
  </si>
  <si>
    <t xml:space="preserve">TIJERA </t>
  </si>
  <si>
    <t>PINZA DE DISECCION ADSON SIN GARRA</t>
  </si>
  <si>
    <t>STAINLESS STEEL</t>
  </si>
  <si>
    <t>AR</t>
  </si>
  <si>
    <t>SE ENVIA A VALLEDUPAR</t>
  </si>
  <si>
    <t>PINZA DE DISECCION CURVA</t>
  </si>
  <si>
    <t>MEDIS</t>
  </si>
  <si>
    <t>PINZAS DE CONJUNTIVA</t>
  </si>
  <si>
    <t>SE SACA 1 SANTA MARTA</t>
  </si>
  <si>
    <t>SIN MARCA</t>
  </si>
  <si>
    <t>SEPARADOR DE PARPADOS</t>
  </si>
  <si>
    <t>TIJERA</t>
  </si>
  <si>
    <t>SORTENDORES</t>
  </si>
  <si>
    <t>CANULA #19 SUBTENON</t>
  </si>
  <si>
    <t>K7-4005</t>
  </si>
  <si>
    <t>MANGOS PARA CANULAS (RETINA)</t>
  </si>
  <si>
    <t>PRE-CHOPPER (AKAHOSHI)</t>
  </si>
  <si>
    <t>AE-4286</t>
  </si>
  <si>
    <t>1 DRA VANESSA</t>
  </si>
  <si>
    <t>K3-5500</t>
  </si>
  <si>
    <t>DOBLADO</t>
  </si>
  <si>
    <t>CAJA # 3</t>
  </si>
  <si>
    <t>ADAPTADORES PARA LIMPIAR MICROPINZAS</t>
  </si>
  <si>
    <t>12-000T</t>
  </si>
  <si>
    <t>K5-9960</t>
  </si>
  <si>
    <t>GANCHOS PASA HILOS</t>
  </si>
  <si>
    <t>GANCHO DE PIEL</t>
  </si>
  <si>
    <t>WOLF</t>
  </si>
  <si>
    <t>PUA DE MEMBRANA</t>
  </si>
  <si>
    <t>13-097-23</t>
  </si>
  <si>
    <t>MANGO DE INSTRUMENTO VITREORRETINAL</t>
  </si>
  <si>
    <t>12-003T</t>
  </si>
  <si>
    <t>COCODRILO</t>
  </si>
  <si>
    <t>12-304-23</t>
  </si>
  <si>
    <t>FORCEPS</t>
  </si>
  <si>
    <t>12-410-23</t>
  </si>
  <si>
    <t>TIJERA VITREORRETINIANAS VERTICAL</t>
  </si>
  <si>
    <t>12-202-23</t>
  </si>
  <si>
    <t>DIVISOR- CHOPPER</t>
  </si>
  <si>
    <t>FORCEPS DE TAPON ESCLERAL</t>
  </si>
  <si>
    <t>MANGO PARA CANULA (RETINA)</t>
  </si>
  <si>
    <t>NUGENT UTILITY FORCEPS SERRATED</t>
  </si>
  <si>
    <t>DRYSDALE</t>
  </si>
  <si>
    <t>FORCEPS DE CARGA</t>
  </si>
  <si>
    <t>MANIPULADOR CON HORQUETICA</t>
  </si>
  <si>
    <t>UTILITY</t>
  </si>
  <si>
    <t>NOV. 18-24</t>
  </si>
  <si>
    <t>CANULAS #27</t>
  </si>
  <si>
    <t>MC PHERSON</t>
  </si>
  <si>
    <t>765T</t>
  </si>
  <si>
    <t>RETROCESO DE TITANEO ASPIRACION ACTIVA</t>
  </si>
  <si>
    <t>SE SACAN 2 SANTA MARTA</t>
  </si>
  <si>
    <t>CANULA #22</t>
  </si>
  <si>
    <t>CANULA#19</t>
  </si>
  <si>
    <t>REVISAR</t>
  </si>
  <si>
    <t xml:space="preserve">PINZA DE DISECCION CURVA </t>
  </si>
  <si>
    <t xml:space="preserve">CANULAS EN FORMA DE MANIPULADOR </t>
  </si>
  <si>
    <t>CANULAS SINSKEY</t>
  </si>
  <si>
    <t>SORTENDORER DR.ESCAF</t>
  </si>
  <si>
    <t>1 PASA HILO</t>
  </si>
  <si>
    <t xml:space="preserve">PINZA DE RETINA </t>
  </si>
  <si>
    <t>TIJERA VANNAS DERECHA</t>
  </si>
  <si>
    <t>CATARATA #2 CAJA GRANDE</t>
  </si>
  <si>
    <t>PINZAS RELOJERO</t>
  </si>
  <si>
    <t>ENTRE ESAS 1 DOBLADA</t>
  </si>
  <si>
    <t>CURETA</t>
  </si>
  <si>
    <t>DOBLADA</t>
  </si>
  <si>
    <t>PINZA ADSON</t>
  </si>
  <si>
    <t>PUNTO 12 COLIBRI</t>
  </si>
  <si>
    <t>4-05035</t>
  </si>
  <si>
    <t>PUNTO 4</t>
  </si>
  <si>
    <t>4-06025</t>
  </si>
  <si>
    <t>BLEFARO CON VALVAS</t>
  </si>
  <si>
    <t xml:space="preserve">SIMCOE CANULA DE SILICON </t>
  </si>
  <si>
    <t>CAJA BLANCA</t>
  </si>
  <si>
    <t>PUNTA POSTERIOR</t>
  </si>
  <si>
    <t>BLEFARO LANKASTER</t>
  </si>
  <si>
    <t xml:space="preserve">TRABECULOTOMO DERECHA- IZQUIERDA </t>
  </si>
  <si>
    <t>SE SACA 1 PARA ESTERELIZAR</t>
  </si>
  <si>
    <t>PINZAS BIPOLAR</t>
  </si>
  <si>
    <t>LOT517118</t>
  </si>
  <si>
    <t>ANILLOS DE FLIERINGA</t>
  </si>
  <si>
    <t xml:space="preserve">LO QUE ESTA POR FUERA </t>
  </si>
  <si>
    <t>ESPATULAS</t>
  </si>
  <si>
    <t>PUNTO12</t>
  </si>
  <si>
    <t>MC PHERSOM</t>
  </si>
  <si>
    <t>MANGUITO</t>
  </si>
  <si>
    <t>ROTADOR DE LENTE</t>
  </si>
  <si>
    <t xml:space="preserve">LO QUE SE ENCUENTRA EN CAJAS </t>
  </si>
  <si>
    <t>CANULA DE I/A PARA OTORRINO</t>
  </si>
  <si>
    <t xml:space="preserve">PUINZA CON GARRA GRANDES </t>
  </si>
  <si>
    <t>BLEFARO PEQUEÑO</t>
  </si>
  <si>
    <t>CAJA CON BLEFAROS</t>
  </si>
  <si>
    <t>CAJA PEQUEÑA INTRUMENTAL</t>
  </si>
  <si>
    <t>PUNTO 5</t>
  </si>
  <si>
    <t>SERASFINES</t>
  </si>
  <si>
    <t xml:space="preserve">PINZA SIN GARRAS FINA </t>
  </si>
  <si>
    <t>E-1888S</t>
  </si>
  <si>
    <t>OCULOPLASTIA</t>
  </si>
  <si>
    <t>TIJERA CURVA</t>
  </si>
  <si>
    <t>DESMARRE</t>
  </si>
  <si>
    <t>PUNTO 12 BICHO HARTMAN</t>
  </si>
  <si>
    <t>ELEVADOR DE FREE</t>
  </si>
  <si>
    <t>MOSQUITO CURVA</t>
  </si>
  <si>
    <t xml:space="preserve"> CAJAS PEQUEÑAS RUMEX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</si>
</sst>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m-dd-yy"/>
    <numFmt numFmtId="165" formatCode="mmm- d-yyyy"/>
    <numFmt numFmtId="166" formatCode="m-yyyy"/>
    <numFmt numFmtId="167" formatCode="d-m"/>
    <numFmt numFmtId="168" formatCode="yyyy-mm"/>
    <numFmt numFmtId="169" formatCode="mmm-d-yy"/>
    <numFmt numFmtId="170" formatCode="mmm- d-yy"/>
  </numFmts>
  <fonts count="40">
    <font>
      <sz val="11.0"/>
      <color theme="1"/>
      <name val="Calibri"/>
      <scheme val="minor"/>
    </font>
    <font>
      <b/>
      <sz val="13.0"/>
      <color theme="1"/>
      <name val="Calibri"/>
    </font>
    <font>
      <b/>
      <color theme="1"/>
      <name val="Calibri"/>
    </font>
    <font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/>
    <font>
      <b/>
      <sz val="19.0"/>
      <color theme="1"/>
      <name val="Calibri"/>
    </font>
    <font>
      <b/>
      <sz val="11.0"/>
      <color rgb="FF000000"/>
      <name val="Calibri"/>
    </font>
    <font>
      <sz val="8.0"/>
      <color theme="1"/>
      <name val="Calibri"/>
    </font>
    <font>
      <sz val="11.0"/>
      <color rgb="FF000000"/>
      <name val="Calibri"/>
    </font>
    <font>
      <b/>
      <sz val="26.0"/>
      <color theme="1"/>
      <name val="Calibri"/>
    </font>
    <font>
      <sz val="9.0"/>
      <color theme="1"/>
      <name val="Calibri"/>
    </font>
    <font>
      <b/>
      <color rgb="FF000000"/>
      <name val="Roboto"/>
    </font>
    <font>
      <color rgb="FF000000"/>
      <name val="Calibri"/>
    </font>
    <font>
      <b/>
      <sz val="12.0"/>
      <color theme="1"/>
      <name val="Calibri"/>
    </font>
    <font>
      <sz val="26.0"/>
      <color theme="1"/>
      <name val="Calibri"/>
    </font>
    <font>
      <color theme="1"/>
      <name val="Calibri"/>
      <scheme val="minor"/>
    </font>
    <font>
      <sz val="7.0"/>
      <color theme="1"/>
      <name val="Calibri"/>
    </font>
    <font>
      <b/>
      <i/>
      <u/>
      <sz val="12.0"/>
      <color theme="1"/>
      <name val="Calibri"/>
    </font>
    <font>
      <b/>
      <i/>
      <u/>
      <sz val="11.0"/>
      <color theme="1"/>
      <name val="Calibri"/>
    </font>
    <font>
      <b/>
      <i/>
      <u/>
      <sz val="11.0"/>
      <color theme="1"/>
      <name val="Noto Sans Symbols"/>
    </font>
    <font>
      <color rgb="FF222222"/>
      <name val="Arial"/>
    </font>
    <font>
      <b/>
      <i/>
      <u/>
      <sz val="14.0"/>
      <color theme="1"/>
      <name val="Calibri"/>
    </font>
    <font>
      <b/>
      <sz val="17.0"/>
      <color theme="1"/>
      <name val="Calibri"/>
    </font>
    <font>
      <b/>
      <i/>
      <u/>
      <sz val="14.0"/>
      <color theme="1"/>
      <name val="Calibri"/>
    </font>
    <font>
      <b/>
      <i/>
      <u/>
      <sz val="14.0"/>
      <color theme="1"/>
      <name val="Calibri"/>
    </font>
    <font>
      <b/>
      <i/>
      <u/>
      <sz val="14.0"/>
      <color theme="1"/>
      <name val="Calibri"/>
    </font>
    <font>
      <b/>
      <i/>
      <u/>
      <sz val="14.0"/>
      <color theme="1"/>
      <name val="Calibri"/>
    </font>
    <font>
      <u/>
      <sz val="12.0"/>
      <color rgb="FF000000"/>
      <name val="Calibri"/>
    </font>
    <font>
      <sz val="14.0"/>
      <color theme="1"/>
      <name val="Calibri"/>
    </font>
    <font>
      <u/>
      <sz val="12.0"/>
      <color rgb="FF000000"/>
      <name val="Calibri"/>
    </font>
    <font>
      <u/>
      <sz val="12.0"/>
      <color rgb="FF000000"/>
      <name val="Calibri"/>
    </font>
    <font>
      <b/>
      <i/>
      <u/>
      <sz val="14.0"/>
      <color theme="1"/>
      <name val="Calibri"/>
    </font>
    <font>
      <b/>
      <i/>
      <u/>
      <sz val="14.0"/>
      <color theme="1"/>
      <name val="Calibri"/>
    </font>
    <font>
      <b/>
      <i/>
      <u/>
      <sz val="14.0"/>
      <color theme="1"/>
      <name val="Calibri"/>
    </font>
    <font>
      <b/>
      <sz val="10.0"/>
      <color rgb="FF000000"/>
      <name val="&quot;Liberation Serif&quot;"/>
    </font>
    <font>
      <sz val="12.0"/>
      <color rgb="FF000000"/>
      <name val="&quot;Liberation Serif&quot;"/>
    </font>
    <font>
      <b/>
      <sz val="10.0"/>
      <color rgb="FF000000"/>
      <name val="Arial"/>
    </font>
    <font>
      <b/>
      <sz val="16.0"/>
      <color theme="1"/>
      <name val="Calibri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EA9999"/>
        <bgColor rgb="FFEA9999"/>
      </patternFill>
    </fill>
    <fill>
      <patternFill patternType="solid">
        <fgColor theme="8"/>
        <bgColor theme="8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ADB9CA"/>
        <bgColor rgb="FFADB9CA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FF9900"/>
        <bgColor rgb="FFFF9900"/>
      </patternFill>
    </fill>
    <fill>
      <patternFill patternType="solid">
        <fgColor rgb="FFFCE4D6"/>
        <bgColor rgb="FFFCE4D6"/>
      </patternFill>
    </fill>
  </fills>
  <borders count="3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bottom/>
    </border>
    <border>
      <left/>
      <right style="medium">
        <color rgb="FF000000"/>
      </right>
      <bottom/>
    </border>
    <border>
      <left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3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right"/>
    </xf>
    <xf borderId="1" fillId="0" fontId="3" numFmtId="0" xfId="0" applyBorder="1" applyFont="1"/>
    <xf borderId="1" fillId="0" fontId="2" numFmtId="0" xfId="0" applyBorder="1" applyFont="1"/>
    <xf borderId="1" fillId="0" fontId="3" numFmtId="164" xfId="0" applyAlignment="1" applyBorder="1" applyFont="1" applyNumberFormat="1">
      <alignment horizontal="right"/>
    </xf>
    <xf borderId="1" fillId="0" fontId="3" numFmtId="165" xfId="0" applyAlignment="1" applyBorder="1" applyFont="1" applyNumberFormat="1">
      <alignment horizontal="right"/>
    </xf>
    <xf borderId="0" fillId="0" fontId="4" numFmtId="0" xfId="0" applyAlignment="1" applyFont="1">
      <alignment horizontal="center"/>
    </xf>
    <xf borderId="0" fillId="0" fontId="1" numFmtId="0" xfId="0" applyFont="1"/>
    <xf borderId="0" fillId="0" fontId="5" numFmtId="0" xfId="0" applyFont="1"/>
    <xf borderId="0" fillId="2" fontId="5" numFmtId="0" xfId="0" applyFill="1" applyFont="1"/>
    <xf borderId="0" fillId="0" fontId="5" numFmtId="0" xfId="0" applyAlignment="1" applyFont="1">
      <alignment horizontal="left"/>
    </xf>
    <xf borderId="0" fillId="0" fontId="5" numFmtId="166" xfId="0" applyAlignment="1" applyFont="1" applyNumberFormat="1">
      <alignment horizontal="left"/>
    </xf>
    <xf borderId="0" fillId="0" fontId="4" numFmtId="0" xfId="0" applyFont="1"/>
    <xf borderId="2" fillId="3" fontId="4" numFmtId="0" xfId="0" applyAlignment="1" applyBorder="1" applyFill="1" applyFont="1">
      <alignment horizontal="center"/>
    </xf>
    <xf borderId="3" fillId="0" fontId="6" numFmtId="0" xfId="0" applyBorder="1" applyFont="1"/>
    <xf borderId="4" fillId="0" fontId="6" numFmtId="0" xfId="0" applyBorder="1" applyFont="1"/>
    <xf borderId="2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2" fillId="0" fontId="2" numFmtId="0" xfId="0" applyBorder="1" applyFont="1"/>
    <xf borderId="1" fillId="0" fontId="2" numFmtId="0" xfId="0" applyAlignment="1" applyBorder="1" applyFont="1">
      <alignment horizontal="right"/>
    </xf>
    <xf borderId="0" fillId="0" fontId="2" numFmtId="0" xfId="0" applyFont="1"/>
    <xf borderId="5" fillId="0" fontId="3" numFmtId="0" xfId="0" applyBorder="1" applyFont="1"/>
    <xf borderId="0" fillId="0" fontId="3" numFmtId="0" xfId="0" applyFont="1"/>
    <xf borderId="2" fillId="0" fontId="3" numFmtId="0" xfId="0" applyBorder="1" applyFont="1"/>
    <xf borderId="0" fillId="0" fontId="5" numFmtId="0" xfId="0" applyAlignment="1" applyFont="1">
      <alignment horizontal="center"/>
    </xf>
    <xf borderId="0" fillId="4" fontId="7" numFmtId="0" xfId="0" applyAlignment="1" applyFill="1" applyFont="1">
      <alignment horizontal="center"/>
    </xf>
    <xf borderId="2" fillId="5" fontId="4" numFmtId="0" xfId="0" applyAlignment="1" applyBorder="1" applyFill="1" applyFont="1">
      <alignment horizontal="center"/>
    </xf>
    <xf borderId="2" fillId="6" fontId="2" numFmtId="0" xfId="0" applyAlignment="1" applyBorder="1" applyFill="1" applyFont="1">
      <alignment horizontal="center"/>
    </xf>
    <xf borderId="1" fillId="5" fontId="4" numFmtId="0" xfId="0" applyAlignment="1" applyBorder="1" applyFont="1">
      <alignment horizontal="center"/>
    </xf>
    <xf borderId="1" fillId="6" fontId="2" numFmtId="0" xfId="0" applyBorder="1" applyFont="1"/>
    <xf borderId="2" fillId="0" fontId="4" numFmtId="0" xfId="0" applyBorder="1" applyFont="1"/>
    <xf borderId="6" fillId="2" fontId="8" numFmtId="0" xfId="0" applyAlignment="1" applyBorder="1" applyFont="1">
      <alignment horizontal="center"/>
    </xf>
    <xf borderId="6" fillId="0" fontId="6" numFmtId="0" xfId="0" applyBorder="1" applyFont="1"/>
    <xf borderId="4" fillId="0" fontId="4" numFmtId="0" xfId="0" applyBorder="1" applyFont="1"/>
    <xf borderId="2" fillId="5" fontId="4" numFmtId="0" xfId="0" applyBorder="1" applyFont="1"/>
    <xf borderId="2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2" fillId="0" fontId="5" numFmtId="0" xfId="0" applyBorder="1" applyFont="1"/>
    <xf borderId="1" fillId="0" fontId="5" numFmtId="0" xfId="0" applyBorder="1" applyFont="1"/>
    <xf borderId="2" fillId="2" fontId="5" numFmtId="0" xfId="0" applyBorder="1" applyFont="1"/>
    <xf borderId="1" fillId="2" fontId="5" numFmtId="0" xfId="0" applyBorder="1" applyFont="1"/>
    <xf borderId="1" fillId="6" fontId="3" numFmtId="0" xfId="0" applyBorder="1" applyFont="1"/>
    <xf borderId="1" fillId="2" fontId="9" numFmtId="0" xfId="0" applyBorder="1" applyFont="1"/>
    <xf borderId="1" fillId="0" fontId="5" numFmtId="0" xfId="0" applyAlignment="1" applyBorder="1" applyFont="1">
      <alignment horizontal="left"/>
    </xf>
    <xf borderId="1" fillId="0" fontId="3" numFmtId="0" xfId="0" applyAlignment="1" applyBorder="1" applyFont="1">
      <alignment horizontal="left"/>
    </xf>
    <xf borderId="1" fillId="0" fontId="3" numFmtId="166" xfId="0" applyAlignment="1" applyBorder="1" applyFont="1" applyNumberFormat="1">
      <alignment horizontal="left"/>
    </xf>
    <xf borderId="3" fillId="0" fontId="2" numFmtId="0" xfId="0" applyBorder="1" applyFont="1"/>
    <xf borderId="4" fillId="0" fontId="2" numFmtId="0" xfId="0" applyBorder="1" applyFont="1"/>
    <xf borderId="2" fillId="0" fontId="4" numFmtId="0" xfId="0" applyAlignment="1" applyBorder="1" applyFont="1">
      <alignment shrinkToFit="0" wrapText="1"/>
    </xf>
    <xf borderId="2" fillId="7" fontId="10" numFmtId="0" xfId="0" applyBorder="1" applyFill="1" applyFont="1"/>
    <xf borderId="1" fillId="7" fontId="5" numFmtId="0" xfId="0" applyBorder="1" applyFont="1"/>
    <xf borderId="2" fillId="7" fontId="5" numFmtId="0" xfId="0" applyBorder="1" applyFont="1"/>
    <xf borderId="1" fillId="7" fontId="5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0" fillId="4" fontId="11" numFmtId="0" xfId="0" applyAlignment="1" applyFont="1">
      <alignment horizontal="center"/>
    </xf>
    <xf borderId="2" fillId="5" fontId="4" numFmtId="0" xfId="0" applyAlignment="1" applyBorder="1" applyFont="1">
      <alignment horizontal="center" vertical="bottom"/>
    </xf>
    <xf borderId="1" fillId="5" fontId="4" numFmtId="0" xfId="0" applyAlignment="1" applyBorder="1" applyFont="1">
      <alignment horizontal="center" vertical="bottom"/>
    </xf>
    <xf borderId="1" fillId="2" fontId="5" numFmtId="166" xfId="0" applyAlignment="1" applyBorder="1" applyFont="1" applyNumberFormat="1">
      <alignment horizontal="left"/>
    </xf>
    <xf borderId="2" fillId="8" fontId="5" numFmtId="0" xfId="0" applyBorder="1" applyFill="1" applyFont="1"/>
    <xf borderId="1" fillId="8" fontId="5" numFmtId="0" xfId="0" applyBorder="1" applyFont="1"/>
    <xf borderId="1" fillId="8" fontId="5" numFmtId="0" xfId="0" applyAlignment="1" applyBorder="1" applyFont="1">
      <alignment horizontal="left"/>
    </xf>
    <xf borderId="1" fillId="2" fontId="5" numFmtId="0" xfId="0" applyAlignment="1" applyBorder="1" applyFont="1">
      <alignment horizontal="left"/>
    </xf>
    <xf borderId="2" fillId="8" fontId="3" numFmtId="0" xfId="0" applyBorder="1" applyFont="1"/>
    <xf borderId="1" fillId="8" fontId="3" numFmtId="0" xfId="0" applyBorder="1" applyFont="1"/>
    <xf borderId="1" fillId="0" fontId="5" numFmtId="167" xfId="0" applyBorder="1" applyFont="1" applyNumberFormat="1"/>
    <xf borderId="1" fillId="8" fontId="3" numFmtId="0" xfId="0" applyAlignment="1" applyBorder="1" applyFont="1">
      <alignment horizontal="center"/>
    </xf>
    <xf borderId="1" fillId="8" fontId="3" numFmtId="0" xfId="0" applyAlignment="1" applyBorder="1" applyFont="1">
      <alignment horizontal="right"/>
    </xf>
    <xf borderId="1" fillId="0" fontId="12" numFmtId="0" xfId="0" applyBorder="1" applyFont="1"/>
    <xf borderId="2" fillId="8" fontId="2" numFmtId="0" xfId="0" applyBorder="1" applyFont="1"/>
    <xf borderId="1" fillId="2" fontId="9" numFmtId="0" xfId="0" applyAlignment="1" applyBorder="1" applyFont="1">
      <alignment shrinkToFit="0" wrapText="1"/>
    </xf>
    <xf borderId="1" fillId="2" fontId="3" numFmtId="0" xfId="0" applyBorder="1" applyFont="1"/>
    <xf borderId="2" fillId="2" fontId="3" numFmtId="0" xfId="0" applyBorder="1" applyFont="1"/>
    <xf borderId="1" fillId="2" fontId="2" numFmtId="0" xfId="0" applyBorder="1" applyFont="1"/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ont="1">
      <alignment horizontal="center" vertical="bottom"/>
    </xf>
    <xf borderId="7" fillId="2" fontId="5" numFmtId="0" xfId="0" applyAlignment="1" applyBorder="1" applyFont="1">
      <alignment vertical="bottom"/>
    </xf>
    <xf borderId="8" fillId="0" fontId="6" numFmtId="0" xfId="0" applyBorder="1" applyFont="1"/>
    <xf borderId="8" fillId="2" fontId="5" numFmtId="0" xfId="0" applyAlignment="1" applyBorder="1" applyFont="1">
      <alignment vertical="bottom"/>
    </xf>
    <xf borderId="8" fillId="2" fontId="5" numFmtId="0" xfId="0" applyAlignment="1" applyBorder="1" applyFont="1">
      <alignment horizontal="right" vertical="bottom"/>
    </xf>
    <xf borderId="8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8" fillId="0" fontId="5" numFmtId="0" xfId="0" applyAlignment="1" applyBorder="1" applyFont="1">
      <alignment horizontal="left" vertical="bottom"/>
    </xf>
    <xf borderId="2" fillId="0" fontId="1" numFmtId="0" xfId="0" applyBorder="1" applyFont="1"/>
    <xf borderId="2" fillId="0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4" fillId="0" fontId="5" numFmtId="0" xfId="0" applyAlignment="1" applyBorder="1" applyFont="1">
      <alignment horizontal="right" vertical="bottom"/>
    </xf>
    <xf borderId="0" fillId="9" fontId="7" numFmtId="0" xfId="0" applyAlignment="1" applyFill="1" applyFont="1">
      <alignment horizontal="center"/>
    </xf>
    <xf borderId="1" fillId="2" fontId="5" numFmtId="0" xfId="0" applyAlignment="1" applyBorder="1" applyFont="1">
      <alignment vertical="bottom"/>
    </xf>
    <xf borderId="1" fillId="2" fontId="3" numFmtId="0" xfId="0" applyAlignment="1" applyBorder="1" applyFont="1">
      <alignment horizontal="left"/>
    </xf>
    <xf borderId="6" fillId="5" fontId="13" numFmtId="0" xfId="0" applyAlignment="1" applyBorder="1" applyFont="1">
      <alignment horizontal="center"/>
    </xf>
    <xf borderId="9" fillId="0" fontId="5" numFmtId="0" xfId="0" applyAlignment="1" applyBorder="1" applyFont="1">
      <alignment vertical="bottom"/>
    </xf>
    <xf borderId="1" fillId="2" fontId="12" numFmtId="0" xfId="0" applyAlignment="1" applyBorder="1" applyFont="1">
      <alignment shrinkToFit="0" wrapText="1"/>
    </xf>
    <xf borderId="9" fillId="0" fontId="3" numFmtId="0" xfId="0" applyBorder="1" applyFont="1"/>
    <xf borderId="8" fillId="0" fontId="3" numFmtId="0" xfId="0" applyBorder="1" applyFont="1"/>
    <xf borderId="6" fillId="2" fontId="13" numFmtId="0" xfId="0" applyAlignment="1" applyBorder="1" applyFont="1">
      <alignment horizontal="center"/>
    </xf>
    <xf borderId="1" fillId="8" fontId="12" numFmtId="0" xfId="0" applyAlignment="1" applyBorder="1" applyFont="1">
      <alignment shrinkToFit="0" wrapText="1"/>
    </xf>
    <xf borderId="0" fillId="2" fontId="14" numFmtId="0" xfId="0" applyAlignment="1" applyFont="1">
      <alignment horizontal="left"/>
    </xf>
    <xf borderId="1" fillId="0" fontId="5" numFmtId="166" xfId="0" applyAlignment="1" applyBorder="1" applyFont="1" applyNumberFormat="1">
      <alignment horizontal="left"/>
    </xf>
    <xf borderId="2" fillId="9" fontId="4" numFmtId="0" xfId="0" applyBorder="1" applyFont="1"/>
    <xf borderId="6" fillId="9" fontId="13" numFmtId="0" xfId="0" applyAlignment="1" applyBorder="1" applyFont="1">
      <alignment horizontal="center"/>
    </xf>
    <xf borderId="1" fillId="0" fontId="3" numFmtId="167" xfId="0" applyBorder="1" applyFont="1" applyNumberFormat="1"/>
    <xf borderId="4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 vertical="bottom"/>
    </xf>
    <xf borderId="2" fillId="7" fontId="5" numFmtId="0" xfId="0" applyAlignment="1" applyBorder="1" applyFont="1">
      <alignment readingOrder="0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horizontal="right" vertical="bottom"/>
    </xf>
    <xf borderId="1" fillId="8" fontId="9" numFmtId="0" xfId="0" applyAlignment="1" applyBorder="1" applyFont="1">
      <alignment shrinkToFit="0" wrapText="1"/>
    </xf>
    <xf borderId="2" fillId="0" fontId="4" numFmtId="0" xfId="0" applyAlignment="1" applyBorder="1" applyFont="1">
      <alignment vertical="bottom"/>
    </xf>
    <xf borderId="1" fillId="0" fontId="5" numFmtId="166" xfId="0" applyAlignment="1" applyBorder="1" applyFont="1" applyNumberFormat="1">
      <alignment vertical="bottom"/>
    </xf>
    <xf borderId="2" fillId="2" fontId="4" numFmtId="0" xfId="0" applyBorder="1" applyFont="1"/>
    <xf borderId="1" fillId="0" fontId="5" numFmtId="0" xfId="0" applyAlignment="1" applyBorder="1" applyFont="1">
      <alignment shrinkToFit="0" wrapText="1"/>
    </xf>
    <xf borderId="2" fillId="2" fontId="5" numFmtId="0" xfId="0" applyAlignment="1" applyBorder="1" applyFont="1">
      <alignment vertical="bottom"/>
    </xf>
    <xf borderId="2" fillId="2" fontId="2" numFmtId="0" xfId="0" applyBorder="1" applyFont="1"/>
    <xf borderId="7" fillId="5" fontId="4" numFmtId="0" xfId="0" applyAlignment="1" applyBorder="1" applyFont="1">
      <alignment horizontal="center" vertical="bottom"/>
    </xf>
    <xf borderId="8" fillId="5" fontId="4" numFmtId="0" xfId="0" applyAlignment="1" applyBorder="1" applyFont="1">
      <alignment horizontal="center" vertical="bottom"/>
    </xf>
    <xf borderId="6" fillId="5" fontId="4" numFmtId="0" xfId="0" applyAlignment="1" applyBorder="1" applyFont="1">
      <alignment horizontal="center" vertical="bottom"/>
    </xf>
    <xf borderId="1" fillId="5" fontId="5" numFmtId="0" xfId="0" applyAlignment="1" applyBorder="1" applyFont="1">
      <alignment vertical="bottom"/>
    </xf>
    <xf borderId="1" fillId="2" fontId="5" numFmtId="0" xfId="0" applyAlignment="1" applyBorder="1" applyFont="1">
      <alignment horizontal="left" vertical="bottom"/>
    </xf>
    <xf borderId="1" fillId="2" fontId="5" numFmtId="0" xfId="0" applyAlignment="1" applyBorder="1" applyFont="1">
      <alignment horizontal="right" vertical="bottom"/>
    </xf>
    <xf borderId="8" fillId="2" fontId="5" numFmtId="0" xfId="0" applyAlignment="1" applyBorder="1" applyFont="1">
      <alignment horizontal="left" vertical="bottom"/>
    </xf>
    <xf borderId="8" fillId="8" fontId="5" numFmtId="0" xfId="0" applyAlignment="1" applyBorder="1" applyFont="1">
      <alignment vertical="bottom"/>
    </xf>
    <xf borderId="8" fillId="0" fontId="5" numFmtId="166" xfId="0" applyAlignment="1" applyBorder="1" applyFont="1" applyNumberFormat="1">
      <alignment horizontal="left" vertical="bottom"/>
    </xf>
    <xf borderId="2" fillId="2" fontId="5" numFmtId="0" xfId="0" applyAlignment="1" applyBorder="1" applyFont="1">
      <alignment horizontal="left" vertical="bottom"/>
    </xf>
    <xf borderId="1" fillId="2" fontId="5" numFmtId="166" xfId="0" applyAlignment="1" applyBorder="1" applyFont="1" applyNumberFormat="1">
      <alignment horizontal="left" vertical="bottom"/>
    </xf>
    <xf borderId="7" fillId="8" fontId="5" numFmtId="0" xfId="0" applyAlignment="1" applyBorder="1" applyFont="1">
      <alignment vertical="bottom"/>
    </xf>
    <xf borderId="8" fillId="8" fontId="5" numFmtId="0" xfId="0" applyAlignment="1" applyBorder="1" applyFont="1">
      <alignment horizontal="right" vertical="bottom"/>
    </xf>
    <xf borderId="8" fillId="2" fontId="5" numFmtId="166" xfId="0" applyAlignment="1" applyBorder="1" applyFont="1" applyNumberFormat="1">
      <alignment horizontal="left" vertical="bottom"/>
    </xf>
    <xf borderId="1" fillId="0" fontId="3" numFmtId="166" xfId="0" applyBorder="1" applyFont="1" applyNumberFormat="1"/>
    <xf borderId="8" fillId="2" fontId="4" numFmtId="0" xfId="0" applyAlignment="1" applyBorder="1" applyFont="1">
      <alignment vertical="bottom"/>
    </xf>
    <xf borderId="2" fillId="7" fontId="5" numFmtId="0" xfId="0" applyAlignment="1" applyBorder="1" applyFont="1">
      <alignment vertical="bottom"/>
    </xf>
    <xf borderId="2" fillId="10" fontId="5" numFmtId="0" xfId="0" applyAlignment="1" applyBorder="1" applyFill="1" applyFont="1">
      <alignment vertical="bottom"/>
    </xf>
    <xf borderId="1" fillId="10" fontId="5" numFmtId="0" xfId="0" applyAlignment="1" applyBorder="1" applyFont="1">
      <alignment vertical="bottom"/>
    </xf>
    <xf borderId="1" fillId="10" fontId="5" numFmtId="0" xfId="0" applyAlignment="1" applyBorder="1" applyFont="1">
      <alignment horizontal="right" vertical="bottom"/>
    </xf>
    <xf borderId="7" fillId="7" fontId="5" numFmtId="0" xfId="0" applyAlignment="1" applyBorder="1" applyFont="1">
      <alignment vertical="bottom"/>
    </xf>
    <xf borderId="7" fillId="10" fontId="5" numFmtId="0" xfId="0" applyAlignment="1" applyBorder="1" applyFont="1">
      <alignment vertical="bottom"/>
    </xf>
    <xf borderId="8" fillId="10" fontId="5" numFmtId="0" xfId="0" applyAlignment="1" applyBorder="1" applyFont="1">
      <alignment vertical="bottom"/>
    </xf>
    <xf borderId="8" fillId="10" fontId="5" numFmtId="0" xfId="0" applyAlignment="1" applyBorder="1" applyFont="1">
      <alignment horizontal="left" vertical="bottom"/>
    </xf>
    <xf borderId="8" fillId="10" fontId="5" numFmtId="0" xfId="0" applyAlignment="1" applyBorder="1" applyFont="1">
      <alignment horizontal="right" vertical="bottom"/>
    </xf>
    <xf borderId="9" fillId="2" fontId="5" numFmtId="0" xfId="0" applyAlignment="1" applyBorder="1" applyFont="1">
      <alignment vertical="bottom"/>
    </xf>
    <xf borderId="7" fillId="7" fontId="3" numFmtId="0" xfId="0" applyBorder="1" applyFont="1"/>
    <xf borderId="8" fillId="2" fontId="3" numFmtId="0" xfId="0" applyBorder="1" applyFont="1"/>
    <xf borderId="2" fillId="7" fontId="3" numFmtId="0" xfId="0" applyBorder="1" applyFont="1"/>
    <xf borderId="8" fillId="7" fontId="5" numFmtId="0" xfId="0" applyAlignment="1" applyBorder="1" applyFont="1">
      <alignment vertical="bottom"/>
    </xf>
    <xf borderId="8" fillId="7" fontId="5" numFmtId="0" xfId="0" applyAlignment="1" applyBorder="1" applyFont="1">
      <alignment horizontal="right" vertical="bottom"/>
    </xf>
    <xf borderId="0" fillId="2" fontId="3" numFmtId="0" xfId="0" applyFont="1"/>
    <xf borderId="1" fillId="2" fontId="10" numFmtId="0" xfId="0" applyBorder="1" applyFont="1"/>
    <xf borderId="10" fillId="0" fontId="4" numFmtId="0" xfId="0" applyAlignment="1" applyBorder="1" applyFont="1">
      <alignment horizontal="center" vertical="bottom"/>
    </xf>
    <xf borderId="0" fillId="0" fontId="15" numFmtId="0" xfId="0" applyAlignment="1" applyFont="1">
      <alignment horizontal="center"/>
    </xf>
    <xf borderId="10" fillId="0" fontId="3" numFmtId="0" xfId="0" applyBorder="1" applyFont="1"/>
    <xf borderId="0" fillId="0" fontId="15" numFmtId="0" xfId="0" applyAlignment="1" applyFont="1">
      <alignment horizontal="center" vertical="bottom"/>
    </xf>
    <xf borderId="2" fillId="5" fontId="1" numFmtId="0" xfId="0" applyBorder="1" applyFont="1"/>
    <xf borderId="0" fillId="0" fontId="15" numFmtId="0" xfId="0" applyFont="1"/>
    <xf borderId="4" fillId="2" fontId="5" numFmtId="0" xfId="0" applyAlignment="1" applyBorder="1" applyFont="1">
      <alignment vertical="bottom"/>
    </xf>
    <xf borderId="4" fillId="2" fontId="5" numFmtId="0" xfId="0" applyAlignment="1" applyBorder="1" applyFont="1">
      <alignment horizontal="right" vertical="bottom"/>
    </xf>
    <xf borderId="0" fillId="2" fontId="5" numFmtId="0" xfId="0" applyAlignment="1" applyFont="1">
      <alignment vertical="bottom"/>
    </xf>
    <xf borderId="0" fillId="2" fontId="3" numFmtId="166" xfId="0" applyAlignment="1" applyFont="1" applyNumberFormat="1">
      <alignment horizontal="left"/>
    </xf>
    <xf borderId="0" fillId="2" fontId="3" numFmtId="0" xfId="0" applyAlignment="1" applyFont="1">
      <alignment horizontal="left"/>
    </xf>
    <xf borderId="0" fillId="2" fontId="2" numFmtId="0" xfId="0" applyFont="1"/>
    <xf borderId="8" fillId="7" fontId="5" numFmtId="0" xfId="0" applyAlignment="1" applyBorder="1" applyFont="1">
      <alignment horizontal="left" vertical="bottom"/>
    </xf>
    <xf borderId="2" fillId="2" fontId="4" numFmtId="0" xfId="0" applyAlignment="1" applyBorder="1" applyFont="1">
      <alignment horizontal="center"/>
    </xf>
    <xf borderId="0" fillId="0" fontId="5" numFmtId="0" xfId="0" applyAlignment="1" applyFont="1">
      <alignment vertical="bottom"/>
    </xf>
    <xf borderId="0" fillId="5" fontId="2" numFmtId="0" xfId="0" applyAlignment="1" applyFont="1">
      <alignment horizontal="center"/>
    </xf>
    <xf borderId="0" fillId="5" fontId="2" numFmtId="0" xfId="0" applyFont="1"/>
    <xf borderId="0" fillId="5" fontId="2" numFmtId="0" xfId="0" applyAlignment="1" applyFont="1">
      <alignment shrinkToFit="0" wrapText="1"/>
    </xf>
    <xf borderId="1" fillId="2" fontId="9" numFmtId="0" xfId="0" applyAlignment="1" applyBorder="1" applyFont="1">
      <alignment shrinkToFit="0" vertical="bottom" wrapText="1"/>
    </xf>
    <xf borderId="1" fillId="0" fontId="4" numFmtId="0" xfId="0" applyBorder="1" applyFont="1"/>
    <xf borderId="11" fillId="0" fontId="5" numFmtId="0" xfId="0" applyBorder="1" applyFont="1"/>
    <xf borderId="5" fillId="0" fontId="6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6" numFmtId="0" xfId="0" applyBorder="1" applyFont="1"/>
    <xf borderId="13" fillId="0" fontId="5" numFmtId="0" xfId="0" applyAlignment="1" applyBorder="1" applyFont="1">
      <alignment horizontal="left"/>
    </xf>
    <xf borderId="1" fillId="2" fontId="5" numFmtId="166" xfId="0" applyBorder="1" applyFont="1" applyNumberFormat="1"/>
    <xf borderId="1" fillId="2" fontId="4" numFmtId="0" xfId="0" applyBorder="1" applyFont="1"/>
    <xf borderId="0" fillId="5" fontId="16" numFmtId="0" xfId="0" applyAlignment="1" applyFont="1">
      <alignment horizontal="center"/>
    </xf>
    <xf borderId="3" fillId="0" fontId="5" numFmtId="0" xfId="0" applyAlignment="1" applyBorder="1" applyFont="1">
      <alignment vertical="bottom"/>
    </xf>
    <xf borderId="3" fillId="0" fontId="4" numFmtId="0" xfId="0" applyAlignment="1" applyBorder="1" applyFont="1">
      <alignment horizontal="center" vertical="bottom"/>
    </xf>
    <xf borderId="2" fillId="5" fontId="3" numFmtId="0" xfId="0" applyBorder="1" applyFont="1"/>
    <xf borderId="1" fillId="7" fontId="3" numFmtId="0" xfId="0" applyBorder="1" applyFont="1"/>
    <xf borderId="4" fillId="7" fontId="3" numFmtId="0" xfId="0" applyBorder="1" applyFont="1"/>
    <xf borderId="3" fillId="0" fontId="4" numFmtId="0" xfId="0" applyAlignment="1" applyBorder="1" applyFont="1">
      <alignment horizontal="center"/>
    </xf>
    <xf borderId="4" fillId="2" fontId="4" numFmtId="0" xfId="0" applyAlignment="1" applyBorder="1" applyFont="1">
      <alignment horizontal="center"/>
    </xf>
    <xf borderId="0" fillId="0" fontId="17" numFmtId="167" xfId="0" applyAlignment="1" applyFont="1" applyNumberFormat="1">
      <alignment readingOrder="0"/>
    </xf>
    <xf borderId="0" fillId="0" fontId="17" numFmtId="0" xfId="0" applyAlignment="1" applyFont="1">
      <alignment readingOrder="0"/>
    </xf>
    <xf borderId="1" fillId="2" fontId="3" numFmtId="0" xfId="0" applyAlignment="1" applyBorder="1" applyFont="1">
      <alignment readingOrder="0"/>
    </xf>
    <xf borderId="2" fillId="2" fontId="5" numFmtId="0" xfId="0" applyAlignment="1" applyBorder="1" applyFont="1">
      <alignment readingOrder="0"/>
    </xf>
    <xf borderId="1" fillId="7" fontId="3" numFmtId="0" xfId="0" applyAlignment="1" applyBorder="1" applyFont="1">
      <alignment readingOrder="0"/>
    </xf>
    <xf borderId="2" fillId="2" fontId="10" numFmtId="0" xfId="0" applyBorder="1" applyFont="1"/>
    <xf borderId="1" fillId="2" fontId="3" numFmtId="166" xfId="0" applyBorder="1" applyFont="1" applyNumberFormat="1"/>
    <xf borderId="1" fillId="7" fontId="3" numFmtId="0" xfId="0" applyAlignment="1" applyBorder="1" applyFont="1">
      <alignment horizontal="left"/>
    </xf>
    <xf borderId="1" fillId="2" fontId="12" numFmtId="0" xfId="0" applyAlignment="1" applyBorder="1" applyFont="1">
      <alignment readingOrder="0"/>
    </xf>
    <xf borderId="1" fillId="7" fontId="3" numFmtId="166" xfId="0" applyBorder="1" applyFont="1" applyNumberFormat="1"/>
    <xf borderId="1" fillId="7" fontId="4" numFmtId="0" xfId="0" applyBorder="1" applyFont="1"/>
    <xf borderId="1" fillId="7" fontId="5" numFmtId="0" xfId="0" applyAlignment="1" applyBorder="1" applyFont="1">
      <alignment horizontal="center"/>
    </xf>
    <xf borderId="1" fillId="2" fontId="4" numFmtId="0" xfId="0" applyAlignment="1" applyBorder="1" applyFont="1">
      <alignment horizontal="center" readingOrder="0"/>
    </xf>
    <xf borderId="0" fillId="0" fontId="17" numFmtId="0" xfId="0" applyFont="1"/>
    <xf borderId="2" fillId="0" fontId="3" numFmtId="0" xfId="0" applyAlignment="1" applyBorder="1" applyFont="1">
      <alignment horizontal="center"/>
    </xf>
    <xf borderId="2" fillId="11" fontId="4" numFmtId="0" xfId="0" applyAlignment="1" applyBorder="1" applyFill="1" applyFont="1">
      <alignment horizontal="center"/>
    </xf>
    <xf borderId="2" fillId="5" fontId="2" numFmtId="0" xfId="0" applyAlignment="1" applyBorder="1" applyFont="1">
      <alignment shrinkToFit="0" wrapText="1"/>
    </xf>
    <xf borderId="2" fillId="5" fontId="2" numFmtId="0" xfId="0" applyAlignment="1" applyBorder="1" applyFont="1">
      <alignment horizontal="center"/>
    </xf>
    <xf borderId="1" fillId="2" fontId="3" numFmtId="0" xfId="0" applyAlignment="1" applyBorder="1" applyFont="1">
      <alignment horizontal="center"/>
    </xf>
    <xf borderId="2" fillId="12" fontId="4" numFmtId="0" xfId="0" applyAlignment="1" applyBorder="1" applyFill="1" applyFont="1">
      <alignment horizontal="center"/>
    </xf>
    <xf borderId="1" fillId="12" fontId="4" numFmtId="0" xfId="0" applyAlignment="1" applyBorder="1" applyFont="1">
      <alignment horizontal="center"/>
    </xf>
    <xf borderId="2" fillId="12" fontId="2" numFmtId="0" xfId="0" applyAlignment="1" applyBorder="1" applyFont="1">
      <alignment shrinkToFit="0" wrapText="1"/>
    </xf>
    <xf borderId="2" fillId="12" fontId="2" numFmtId="0" xfId="0" applyAlignment="1" applyBorder="1" applyFont="1">
      <alignment horizontal="center"/>
    </xf>
    <xf borderId="1" fillId="12" fontId="2" numFmtId="0" xfId="0" applyBorder="1" applyFont="1"/>
    <xf borderId="1" fillId="12" fontId="3" numFmtId="0" xfId="0" applyAlignment="1" applyBorder="1" applyFont="1">
      <alignment horizontal="center"/>
    </xf>
    <xf borderId="2" fillId="12" fontId="3" numFmtId="0" xfId="0" applyBorder="1" applyFont="1"/>
    <xf borderId="1" fillId="12" fontId="3" numFmtId="0" xfId="0" applyBorder="1" applyFont="1"/>
    <xf borderId="1" fillId="2" fontId="3" numFmtId="166" xfId="0" applyAlignment="1" applyBorder="1" applyFont="1" applyNumberFormat="1">
      <alignment horizontal="left"/>
    </xf>
    <xf borderId="2" fillId="12" fontId="2" numFmtId="0" xfId="0" applyBorder="1" applyFont="1"/>
    <xf borderId="0" fillId="2" fontId="4" numFmtId="0" xfId="0" applyFont="1"/>
    <xf borderId="0" fillId="2" fontId="4" numFmtId="0" xfId="0" applyAlignment="1" applyFont="1">
      <alignment horizontal="center"/>
    </xf>
    <xf borderId="2" fillId="5" fontId="2" numFmtId="0" xfId="0" applyBorder="1" applyFont="1"/>
    <xf borderId="2" fillId="5" fontId="3" numFmtId="0" xfId="0" applyAlignment="1" applyBorder="1" applyFont="1">
      <alignment horizontal="center"/>
    </xf>
    <xf borderId="1" fillId="2" fontId="3" numFmtId="0" xfId="0" applyAlignment="1" applyBorder="1" applyFont="1">
      <alignment horizontal="right"/>
    </xf>
    <xf borderId="6" fillId="2" fontId="5" numFmtId="0" xfId="0" applyAlignment="1" applyBorder="1" applyFont="1">
      <alignment vertical="bottom"/>
    </xf>
    <xf borderId="6" fillId="2" fontId="5" numFmtId="0" xfId="0" applyAlignment="1" applyBorder="1" applyFont="1">
      <alignment horizontal="right" vertical="bottom"/>
    </xf>
    <xf borderId="3" fillId="2" fontId="3" numFmtId="0" xfId="0" applyBorder="1" applyFont="1"/>
    <xf borderId="4" fillId="2" fontId="3" numFmtId="0" xfId="0" applyBorder="1" applyFont="1"/>
    <xf borderId="6" fillId="5" fontId="5" numFmtId="0" xfId="0" applyAlignment="1" applyBorder="1" applyFont="1">
      <alignment vertical="bottom"/>
    </xf>
    <xf borderId="7" fillId="5" fontId="5" numFmtId="0" xfId="0" applyAlignment="1" applyBorder="1" applyFont="1">
      <alignment vertical="bottom"/>
    </xf>
    <xf borderId="8" fillId="5" fontId="5" numFmtId="0" xfId="0" applyAlignment="1" applyBorder="1" applyFont="1">
      <alignment vertical="bottom"/>
    </xf>
    <xf borderId="8" fillId="5" fontId="5" numFmtId="0" xfId="0" applyAlignment="1" applyBorder="1" applyFont="1">
      <alignment horizontal="right" vertical="bottom"/>
    </xf>
    <xf borderId="2" fillId="13" fontId="4" numFmtId="0" xfId="0" applyBorder="1" applyFill="1" applyFont="1"/>
    <xf borderId="1" fillId="5" fontId="3" numFmtId="0" xfId="0" applyBorder="1" applyFont="1"/>
    <xf borderId="2" fillId="2" fontId="2" numFmtId="0" xfId="0" applyAlignment="1" applyBorder="1" applyFont="1">
      <alignment horizontal="center"/>
    </xf>
    <xf borderId="2" fillId="5" fontId="5" numFmtId="0" xfId="0" applyBorder="1" applyFont="1"/>
    <xf borderId="1" fillId="5" fontId="5" numFmtId="0" xfId="0" applyBorder="1" applyFont="1"/>
    <xf borderId="2" fillId="7" fontId="4" numFmtId="0" xfId="0" applyAlignment="1" applyBorder="1" applyFont="1">
      <alignment horizontal="center"/>
    </xf>
    <xf borderId="7" fillId="7" fontId="4" numFmtId="0" xfId="0" applyAlignment="1" applyBorder="1" applyFont="1">
      <alignment horizontal="center" vertical="bottom"/>
    </xf>
    <xf borderId="8" fillId="7" fontId="4" numFmtId="0" xfId="0" applyAlignment="1" applyBorder="1" applyFont="1">
      <alignment horizontal="center" vertical="bottom"/>
    </xf>
    <xf borderId="6" fillId="7" fontId="4" numFmtId="0" xfId="0" applyAlignment="1" applyBorder="1" applyFont="1">
      <alignment horizontal="center" vertical="bottom"/>
    </xf>
    <xf borderId="9" fillId="7" fontId="4" numFmtId="0" xfId="0" applyAlignment="1" applyBorder="1" applyFont="1">
      <alignment horizontal="center" vertical="bottom"/>
    </xf>
    <xf borderId="8" fillId="7" fontId="5" numFmtId="0" xfId="0" applyAlignment="1" applyBorder="1" applyFont="1">
      <alignment horizontal="center" vertical="bottom"/>
    </xf>
    <xf borderId="6" fillId="7" fontId="5" numFmtId="0" xfId="0" applyAlignment="1" applyBorder="1" applyFont="1">
      <alignment horizontal="center" vertical="bottom"/>
    </xf>
    <xf borderId="9" fillId="7" fontId="5" numFmtId="0" xfId="0" applyAlignment="1" applyBorder="1" applyFont="1">
      <alignment vertical="bottom"/>
    </xf>
    <xf borderId="6" fillId="7" fontId="5" numFmtId="0" xfId="0" applyAlignment="1" applyBorder="1" applyFont="1">
      <alignment vertical="bottom"/>
    </xf>
    <xf borderId="8" fillId="7" fontId="5" numFmtId="166" xfId="0" applyAlignment="1" applyBorder="1" applyFont="1" applyNumberFormat="1">
      <alignment horizontal="left" vertical="bottom"/>
    </xf>
    <xf borderId="2" fillId="7" fontId="2" numFmtId="0" xfId="0" applyBorder="1" applyFont="1"/>
    <xf borderId="0" fillId="3" fontId="3" numFmtId="0" xfId="0" applyFont="1"/>
    <xf borderId="0" fillId="7" fontId="3" numFmtId="0" xfId="0" applyFont="1"/>
    <xf borderId="2" fillId="7" fontId="4" numFmtId="0" xfId="0" applyAlignment="1" applyBorder="1" applyFont="1">
      <alignment horizontal="center" vertical="bottom"/>
    </xf>
    <xf borderId="1" fillId="7" fontId="4" numFmtId="0" xfId="0" applyAlignment="1" applyBorder="1" applyFont="1">
      <alignment horizontal="center" vertical="bottom"/>
    </xf>
    <xf borderId="1" fillId="7" fontId="5" numFmtId="0" xfId="0" applyAlignment="1" applyBorder="1" applyFont="1">
      <alignment vertical="bottom"/>
    </xf>
    <xf borderId="1" fillId="7" fontId="5" numFmtId="166" xfId="0" applyAlignment="1" applyBorder="1" applyFont="1" applyNumberFormat="1">
      <alignment horizontal="left" vertical="bottom"/>
    </xf>
    <xf borderId="1" fillId="7" fontId="5" numFmtId="0" xfId="0" applyAlignment="1" applyBorder="1" applyFont="1">
      <alignment horizontal="right" vertical="bottom"/>
    </xf>
    <xf borderId="11" fillId="0" fontId="3" numFmtId="0" xfId="0" applyBorder="1" applyFont="1"/>
    <xf borderId="12" fillId="0" fontId="3" numFmtId="0" xfId="0" applyBorder="1" applyFont="1"/>
    <xf borderId="1" fillId="7" fontId="5" numFmtId="0" xfId="0" applyAlignment="1" applyBorder="1" applyFont="1">
      <alignment horizontal="left" vertical="bottom"/>
    </xf>
    <xf borderId="2" fillId="2" fontId="3" numFmtId="0" xfId="0" applyAlignment="1" applyBorder="1" applyFont="1">
      <alignment horizontal="center"/>
    </xf>
    <xf borderId="1" fillId="7" fontId="18" numFmtId="0" xfId="0" applyAlignment="1" applyBorder="1" applyFont="1">
      <alignment vertical="bottom"/>
    </xf>
    <xf borderId="2" fillId="5" fontId="4" numFmtId="0" xfId="0" applyAlignment="1" applyBorder="1" applyFont="1">
      <alignment vertical="bottom"/>
    </xf>
    <xf borderId="2" fillId="5" fontId="5" numFmtId="0" xfId="0" applyAlignment="1" applyBorder="1" applyFont="1">
      <alignment horizontal="center" vertical="bottom"/>
    </xf>
    <xf borderId="1" fillId="2" fontId="5" numFmtId="166" xfId="0" applyAlignment="1" applyBorder="1" applyFont="1" applyNumberFormat="1">
      <alignment vertical="bottom"/>
    </xf>
    <xf borderId="2" fillId="2" fontId="4" numFmtId="0" xfId="0" applyAlignment="1" applyBorder="1" applyFont="1">
      <alignment vertical="bottom"/>
    </xf>
    <xf borderId="1" fillId="2" fontId="3" numFmtId="166" xfId="0" applyAlignment="1" applyBorder="1" applyFont="1" applyNumberFormat="1">
      <alignment horizontal="center"/>
    </xf>
    <xf borderId="0" fillId="5" fontId="3" numFmtId="0" xfId="0" applyFont="1"/>
    <xf borderId="2" fillId="14" fontId="5" numFmtId="0" xfId="0" applyBorder="1" applyFill="1" applyFont="1"/>
    <xf borderId="2" fillId="10" fontId="5" numFmtId="0" xfId="0" applyBorder="1" applyFont="1"/>
    <xf borderId="4" fillId="10" fontId="5" numFmtId="0" xfId="0" applyBorder="1" applyFont="1"/>
    <xf borderId="1" fillId="10" fontId="5" numFmtId="0" xfId="0" applyBorder="1" applyFont="1"/>
    <xf borderId="4" fillId="7" fontId="5" numFmtId="0" xfId="0" applyBorder="1" applyFont="1"/>
    <xf borderId="4" fillId="0" fontId="5" numFmtId="0" xfId="0" applyBorder="1" applyFont="1"/>
    <xf borderId="1" fillId="15" fontId="5" numFmtId="0" xfId="0" applyAlignment="1" applyBorder="1" applyFill="1" applyFont="1">
      <alignment shrinkToFit="0" wrapText="1"/>
    </xf>
    <xf borderId="2" fillId="2" fontId="5" numFmtId="0" xfId="0" applyAlignment="1" applyBorder="1" applyFont="1">
      <alignment horizontal="left"/>
    </xf>
    <xf borderId="1" fillId="2" fontId="5" numFmtId="0" xfId="0" applyAlignment="1" applyBorder="1" applyFont="1">
      <alignment horizontal="right"/>
    </xf>
    <xf borderId="1" fillId="10" fontId="3" numFmtId="0" xfId="0" applyBorder="1" applyFont="1"/>
    <xf borderId="1" fillId="10" fontId="3" numFmtId="0" xfId="0" applyAlignment="1" applyBorder="1" applyFont="1">
      <alignment horizontal="left"/>
    </xf>
    <xf borderId="1" fillId="2" fontId="4" numFmtId="0" xfId="0" applyAlignment="1" applyBorder="1" applyFont="1">
      <alignment horizontal="center"/>
    </xf>
    <xf borderId="1" fillId="2" fontId="4" numFmtId="0" xfId="0" applyAlignment="1" applyBorder="1" applyFont="1">
      <alignment horizontal="right"/>
    </xf>
    <xf borderId="2" fillId="2" fontId="2" numFmtId="0" xfId="0" applyAlignment="1" applyBorder="1" applyFont="1">
      <alignment horizontal="left"/>
    </xf>
    <xf borderId="0" fillId="0" fontId="19" numFmtId="0" xfId="0" applyAlignment="1" applyFont="1">
      <alignment horizontal="center"/>
    </xf>
    <xf borderId="0" fillId="0" fontId="20" numFmtId="0" xfId="0" applyFont="1"/>
    <xf borderId="0" fillId="0" fontId="21" numFmtId="0" xfId="0" applyFont="1"/>
    <xf borderId="3" fillId="2" fontId="4" numFmtId="0" xfId="0" applyBorder="1" applyFont="1"/>
    <xf borderId="0" fillId="16" fontId="3" numFmtId="0" xfId="0" applyFill="1" applyFont="1"/>
    <xf borderId="1" fillId="5" fontId="3" numFmtId="0" xfId="0" applyAlignment="1" applyBorder="1" applyFont="1">
      <alignment horizontal="left"/>
    </xf>
    <xf borderId="4" fillId="5" fontId="3" numFmtId="0" xfId="0" applyBorder="1" applyFont="1"/>
    <xf borderId="2" fillId="0" fontId="2" numFmtId="0" xfId="0" applyAlignment="1" applyBorder="1" applyFont="1">
      <alignment horizontal="center"/>
    </xf>
    <xf borderId="1" fillId="5" fontId="5" numFmtId="0" xfId="0" applyAlignment="1" applyBorder="1" applyFont="1">
      <alignment horizontal="left"/>
    </xf>
    <xf borderId="1" fillId="5" fontId="4" numFmtId="0" xfId="0" applyBorder="1" applyFont="1"/>
    <xf borderId="1" fillId="0" fontId="4" numFmtId="0" xfId="0" applyAlignment="1" applyBorder="1" applyFont="1">
      <alignment horizontal="left"/>
    </xf>
    <xf borderId="1" fillId="0" fontId="5" numFmtId="0" xfId="0" applyAlignment="1" applyBorder="1" applyFont="1">
      <alignment horizontal="right"/>
    </xf>
    <xf borderId="1" fillId="2" fontId="5" numFmtId="168" xfId="0" applyBorder="1" applyFont="1" applyNumberFormat="1"/>
    <xf borderId="2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/>
    </xf>
    <xf borderId="0" fillId="0" fontId="3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4" fillId="2" fontId="3" numFmtId="0" xfId="0" applyAlignment="1" applyBorder="1" applyFont="1">
      <alignment horizontal="left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3" fillId="2" fontId="5" numFmtId="0" xfId="0" applyAlignment="1" applyBorder="1" applyFont="1">
      <alignment horizontal="left"/>
    </xf>
    <xf borderId="3" fillId="2" fontId="3" numFmtId="0" xfId="0" applyAlignment="1" applyBorder="1" applyFont="1">
      <alignment horizontal="left"/>
    </xf>
    <xf borderId="1" fillId="2" fontId="5" numFmtId="0" xfId="0" applyAlignment="1" applyBorder="1" applyFont="1">
      <alignment horizontal="center"/>
    </xf>
    <xf borderId="1" fillId="2" fontId="22" numFmtId="0" xfId="0" applyBorder="1" applyFont="1"/>
    <xf borderId="11" fillId="17" fontId="23" numFmtId="0" xfId="0" applyAlignment="1" applyBorder="1" applyFill="1" applyFont="1">
      <alignment horizontal="center" shrinkToFit="0" wrapText="1"/>
    </xf>
    <xf borderId="0" fillId="4" fontId="24" numFmtId="0" xfId="0" applyAlignment="1" applyFont="1">
      <alignment horizontal="center"/>
    </xf>
    <xf borderId="7" fillId="0" fontId="6" numFmtId="0" xfId="0" applyBorder="1" applyFont="1"/>
    <xf borderId="14" fillId="18" fontId="25" numFmtId="0" xfId="0" applyAlignment="1" applyBorder="1" applyFill="1" applyFont="1">
      <alignment horizontal="center" shrinkToFit="0" wrapText="1"/>
    </xf>
    <xf borderId="15" fillId="18" fontId="26" numFmtId="0" xfId="0" applyAlignment="1" applyBorder="1" applyFont="1">
      <alignment horizontal="center" shrinkToFit="0" wrapText="1"/>
    </xf>
    <xf borderId="16" fillId="18" fontId="27" numFmtId="0" xfId="0" applyAlignment="1" applyBorder="1" applyFont="1">
      <alignment horizontal="center" shrinkToFit="0" wrapText="1"/>
    </xf>
    <xf borderId="7" fillId="19" fontId="28" numFmtId="0" xfId="0" applyAlignment="1" applyBorder="1" applyFill="1" applyFont="1">
      <alignment horizontal="center" shrinkToFit="0" wrapText="1"/>
    </xf>
    <xf borderId="0" fillId="0" fontId="29" numFmtId="0" xfId="0" applyAlignment="1" applyFont="1">
      <alignment horizontal="center"/>
    </xf>
    <xf borderId="1" fillId="0" fontId="30" numFmtId="0" xfId="0" applyAlignment="1" applyBorder="1" applyFont="1">
      <alignment shrinkToFit="0" wrapText="1"/>
    </xf>
    <xf borderId="1" fillId="0" fontId="30" numFmtId="0" xfId="0" applyAlignment="1" applyBorder="1" applyFont="1">
      <alignment horizontal="center" shrinkToFit="0" wrapText="1"/>
    </xf>
    <xf borderId="0" fillId="0" fontId="31" numFmtId="0" xfId="0" applyAlignment="1" applyFont="1">
      <alignment horizontal="left" vertical="bottom"/>
    </xf>
    <xf borderId="0" fillId="0" fontId="32" numFmtId="0" xfId="0" applyAlignment="1" applyFont="1">
      <alignment horizontal="right" vertical="bottom"/>
    </xf>
    <xf borderId="12" fillId="0" fontId="30" numFmtId="0" xfId="0" applyAlignment="1" applyBorder="1" applyFont="1">
      <alignment shrinkToFit="0" wrapText="1"/>
    </xf>
    <xf borderId="12" fillId="0" fontId="30" numFmtId="0" xfId="0" applyAlignment="1" applyBorder="1" applyFont="1">
      <alignment horizontal="center" shrinkToFit="0" wrapText="1"/>
    </xf>
    <xf borderId="12" fillId="0" fontId="5" numFmtId="0" xfId="0" applyAlignment="1" applyBorder="1" applyFont="1">
      <alignment vertical="bottom"/>
    </xf>
    <xf borderId="17" fillId="18" fontId="30" numFmtId="0" xfId="0" applyAlignment="1" applyBorder="1" applyFont="1">
      <alignment shrinkToFit="0" wrapText="1"/>
    </xf>
    <xf borderId="18" fillId="18" fontId="30" numFmtId="0" xfId="0" applyAlignment="1" applyBorder="1" applyFont="1">
      <alignment horizontal="center" shrinkToFit="0" wrapText="1"/>
    </xf>
    <xf borderId="18" fillId="18" fontId="5" numFmtId="0" xfId="0" applyAlignment="1" applyBorder="1" applyFont="1">
      <alignment vertical="bottom"/>
    </xf>
    <xf borderId="19" fillId="18" fontId="5" numFmtId="0" xfId="0" applyAlignment="1" applyBorder="1" applyFont="1">
      <alignment vertical="bottom"/>
    </xf>
    <xf borderId="20" fillId="20" fontId="33" numFmtId="0" xfId="0" applyAlignment="1" applyBorder="1" applyFill="1" applyFont="1">
      <alignment horizontal="center" shrinkToFit="0" wrapText="1"/>
    </xf>
    <xf borderId="21" fillId="0" fontId="6" numFmtId="0" xfId="0" applyBorder="1" applyFont="1"/>
    <xf borderId="9" fillId="0" fontId="30" numFmtId="0" xfId="0" applyAlignment="1" applyBorder="1" applyFont="1">
      <alignment shrinkToFit="0" wrapText="1"/>
    </xf>
    <xf borderId="9" fillId="0" fontId="30" numFmtId="0" xfId="0" applyAlignment="1" applyBorder="1" applyFont="1">
      <alignment horizontal="center" shrinkToFit="0" wrapText="1"/>
    </xf>
    <xf borderId="22" fillId="0" fontId="30" numFmtId="0" xfId="0" applyAlignment="1" applyBorder="1" applyFont="1">
      <alignment shrinkToFit="0" wrapText="1"/>
    </xf>
    <xf borderId="22" fillId="0" fontId="30" numFmtId="0" xfId="0" applyAlignment="1" applyBorder="1" applyFont="1">
      <alignment horizontal="center" shrinkToFit="0" wrapText="1"/>
    </xf>
    <xf borderId="22" fillId="0" fontId="5" numFmtId="0" xfId="0" applyAlignment="1" applyBorder="1" applyFont="1">
      <alignment vertical="bottom"/>
    </xf>
    <xf borderId="23" fillId="20" fontId="34" numFmtId="0" xfId="0" applyAlignment="1" applyBorder="1" applyFont="1">
      <alignment horizontal="center" shrinkToFit="0" wrapText="1"/>
    </xf>
    <xf borderId="24" fillId="0" fontId="6" numFmtId="0" xfId="0" applyBorder="1" applyFont="1"/>
    <xf borderId="25" fillId="0" fontId="5" numFmtId="0" xfId="0" applyBorder="1" applyFont="1"/>
    <xf borderId="26" fillId="0" fontId="5" numFmtId="0" xfId="0" applyBorder="1" applyFont="1"/>
    <xf borderId="27" fillId="18" fontId="5" numFmtId="0" xfId="0" applyAlignment="1" applyBorder="1" applyFont="1">
      <alignment vertical="bottom"/>
    </xf>
    <xf borderId="28" fillId="20" fontId="35" numFmtId="0" xfId="0" applyAlignment="1" applyBorder="1" applyFont="1">
      <alignment horizontal="center" shrinkToFit="0" wrapText="1"/>
    </xf>
    <xf borderId="1" fillId="2" fontId="30" numFmtId="0" xfId="0" applyAlignment="1" applyBorder="1" applyFont="1">
      <alignment shrinkToFit="0" wrapText="1"/>
    </xf>
    <xf borderId="1" fillId="2" fontId="30" numFmtId="0" xfId="0" applyAlignment="1" applyBorder="1" applyFont="1">
      <alignment horizontal="center" shrinkToFit="0" wrapText="1"/>
    </xf>
    <xf borderId="29" fillId="2" fontId="5" numFmtId="0" xfId="0" applyBorder="1" applyFont="1"/>
    <xf borderId="30" fillId="0" fontId="6" numFmtId="0" xfId="0" applyBorder="1" applyFont="1"/>
    <xf borderId="1" fillId="19" fontId="30" numFmtId="0" xfId="0" applyAlignment="1" applyBorder="1" applyFont="1">
      <alignment shrinkToFit="0" wrapText="1"/>
    </xf>
    <xf borderId="1" fillId="19" fontId="30" numFmtId="0" xfId="0" applyAlignment="1" applyBorder="1" applyFont="1">
      <alignment horizontal="center" shrinkToFit="0" wrapText="1"/>
    </xf>
    <xf borderId="1" fillId="19" fontId="5" numFmtId="0" xfId="0" applyAlignment="1" applyBorder="1" applyFont="1">
      <alignment vertical="bottom"/>
    </xf>
    <xf borderId="2" fillId="19" fontId="5" numFmtId="0" xfId="0" applyAlignment="1" applyBorder="1" applyFont="1">
      <alignment vertical="bottom"/>
    </xf>
    <xf borderId="2" fillId="21" fontId="16" numFmtId="0" xfId="0" applyAlignment="1" applyBorder="1" applyFill="1" applyFont="1">
      <alignment horizontal="center"/>
    </xf>
    <xf borderId="31" fillId="0" fontId="4" numFmtId="0" xfId="0" applyBorder="1" applyFont="1"/>
    <xf borderId="32" fillId="0" fontId="6" numFmtId="0" xfId="0" applyBorder="1" applyFont="1"/>
    <xf borderId="2" fillId="0" fontId="36" numFmtId="0" xfId="0" applyAlignment="1" applyBorder="1" applyFont="1">
      <alignment horizontal="center"/>
    </xf>
    <xf borderId="2" fillId="0" fontId="8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left"/>
    </xf>
    <xf borderId="2" fillId="0" fontId="5" numFmtId="0" xfId="0" applyAlignment="1" applyBorder="1" applyFont="1">
      <alignment horizontal="left" vertical="top"/>
    </xf>
    <xf borderId="33" fillId="0" fontId="5" numFmtId="0" xfId="0" applyAlignment="1" applyBorder="1" applyFont="1">
      <alignment vertical="bottom"/>
    </xf>
    <xf borderId="34" fillId="0" fontId="6" numFmtId="0" xfId="0" applyBorder="1" applyFont="1"/>
    <xf borderId="2" fillId="0" fontId="10" numFmtId="0" xfId="0" applyAlignment="1" applyBorder="1" applyFont="1">
      <alignment horizontal="left"/>
    </xf>
    <xf borderId="31" fillId="0" fontId="4" numFmtId="0" xfId="0" applyAlignment="1" applyBorder="1" applyFont="1">
      <alignment horizontal="center"/>
    </xf>
    <xf borderId="31" fillId="0" fontId="5" numFmtId="0" xfId="0" applyAlignment="1" applyBorder="1" applyFont="1">
      <alignment vertical="bottom"/>
    </xf>
    <xf borderId="2" fillId="0" fontId="5" numFmtId="0" xfId="0" applyAlignment="1" applyBorder="1" applyFont="1">
      <alignment horizontal="right" vertical="bottom"/>
    </xf>
    <xf borderId="2" fillId="0" fontId="5" numFmtId="0" xfId="0" applyAlignment="1" applyBorder="1" applyFont="1">
      <alignment horizontal="left" vertical="bottom"/>
    </xf>
    <xf borderId="32" fillId="0" fontId="5" numFmtId="0" xfId="0" applyAlignment="1" applyBorder="1" applyFont="1">
      <alignment vertical="bottom"/>
    </xf>
    <xf borderId="0" fillId="0" fontId="37" numFmtId="0" xfId="0" applyAlignment="1" applyFont="1">
      <alignment horizontal="left"/>
    </xf>
    <xf borderId="2" fillId="0" fontId="4" numFmtId="0" xfId="0" applyAlignment="1" applyBorder="1" applyFont="1">
      <alignment horizontal="center" vertical="top"/>
    </xf>
    <xf borderId="0" fillId="0" fontId="5" numFmtId="0" xfId="0" applyAlignment="1" applyFont="1">
      <alignment horizontal="left" vertical="top"/>
    </xf>
    <xf borderId="1" fillId="0" fontId="10" numFmtId="0" xfId="0" applyAlignment="1" applyBorder="1" applyFont="1">
      <alignment horizontal="left" vertical="bottom"/>
    </xf>
    <xf borderId="6" fillId="0" fontId="4" numFmtId="0" xfId="0" applyAlignment="1" applyBorder="1" applyFont="1">
      <alignment horizontal="center" vertical="top"/>
    </xf>
    <xf borderId="1" fillId="0" fontId="5" numFmtId="0" xfId="0" applyAlignment="1" applyBorder="1" applyFont="1">
      <alignment horizontal="left" vertical="top"/>
    </xf>
    <xf borderId="2" fillId="0" fontId="4" numFmtId="0" xfId="0" applyAlignment="1" applyBorder="1" applyFont="1">
      <alignment horizontal="left" vertical="top"/>
    </xf>
    <xf borderId="1" fillId="0" fontId="5" numFmtId="0" xfId="0" applyAlignment="1" applyBorder="1" applyFont="1">
      <alignment horizontal="left" vertical="bottom"/>
    </xf>
    <xf borderId="11" fillId="0" fontId="4" numFmtId="0" xfId="0" applyAlignment="1" applyBorder="1" applyFont="1">
      <alignment horizontal="center"/>
    </xf>
    <xf borderId="12" fillId="0" fontId="4" numFmtId="0" xfId="0" applyAlignment="1" applyBorder="1" applyFont="1">
      <alignment horizontal="center"/>
    </xf>
    <xf borderId="2" fillId="6" fontId="5" numFmtId="0" xfId="0" applyAlignment="1" applyBorder="1" applyFont="1">
      <alignment horizontal="left" vertical="top"/>
    </xf>
    <xf borderId="2" fillId="0" fontId="10" numFmtId="0" xfId="0" applyAlignment="1" applyBorder="1" applyFont="1">
      <alignment horizontal="left" vertical="bottom"/>
    </xf>
    <xf borderId="8" fillId="5" fontId="5" numFmtId="0" xfId="0" applyAlignment="1" applyBorder="1" applyFont="1">
      <alignment horizontal="left" vertical="bottom"/>
    </xf>
    <xf borderId="2" fillId="11" fontId="4" numFmtId="0" xfId="0" applyAlignment="1" applyBorder="1" applyFont="1">
      <alignment horizontal="center" vertical="top"/>
    </xf>
    <xf borderId="8" fillId="5" fontId="5" numFmtId="166" xfId="0" applyAlignment="1" applyBorder="1" applyFont="1" applyNumberFormat="1">
      <alignment horizontal="left" vertical="bottom"/>
    </xf>
    <xf borderId="11" fillId="8" fontId="4" numFmtId="0" xfId="0" applyAlignment="1" applyBorder="1" applyFont="1">
      <alignment horizontal="center" vertical="top"/>
    </xf>
    <xf borderId="3" fillId="0" fontId="5" numFmtId="0" xfId="0" applyAlignment="1" applyBorder="1" applyFont="1">
      <alignment horizontal="left" vertical="top"/>
    </xf>
    <xf borderId="4" fillId="0" fontId="5" numFmtId="0" xfId="0" applyAlignment="1" applyBorder="1" applyFont="1">
      <alignment horizontal="left" vertical="top"/>
    </xf>
    <xf borderId="7" fillId="0" fontId="5" numFmtId="0" xfId="0" applyAlignment="1" applyBorder="1" applyFont="1">
      <alignment horizontal="left" vertical="bottom"/>
    </xf>
    <xf borderId="6" fillId="0" fontId="5" numFmtId="0" xfId="0" applyAlignment="1" applyBorder="1" applyFont="1">
      <alignment horizontal="left" vertical="bottom"/>
    </xf>
    <xf borderId="3" fillId="0" fontId="5" numFmtId="0" xfId="0" applyAlignment="1" applyBorder="1" applyFont="1">
      <alignment horizontal="left" vertical="bottom"/>
    </xf>
    <xf borderId="4" fillId="0" fontId="5" numFmtId="0" xfId="0" applyAlignment="1" applyBorder="1" applyFont="1">
      <alignment horizontal="left" vertical="bottom"/>
    </xf>
    <xf borderId="13" fillId="0" fontId="3" numFmtId="0" xfId="0" applyBorder="1" applyFont="1"/>
    <xf borderId="5" fillId="0" fontId="3" numFmtId="0" xfId="0" applyAlignment="1" applyBorder="1" applyFont="1">
      <alignment horizontal="left"/>
    </xf>
    <xf borderId="2" fillId="0" fontId="22" numFmtId="0" xfId="0" applyBorder="1" applyFont="1"/>
    <xf borderId="2" fillId="0" fontId="38" numFmtId="0" xfId="0" applyAlignment="1" applyBorder="1" applyFont="1">
      <alignment horizontal="center"/>
    </xf>
    <xf borderId="0" fillId="0" fontId="10" numFmtId="0" xfId="0" applyAlignment="1" applyFont="1">
      <alignment horizontal="left"/>
    </xf>
    <xf borderId="0" fillId="0" fontId="3" numFmtId="0" xfId="0" applyAlignment="1" applyFont="1">
      <alignment horizontal="left"/>
    </xf>
    <xf borderId="11" fillId="22" fontId="8" numFmtId="0" xfId="0" applyAlignment="1" applyBorder="1" applyFill="1" applyFont="1">
      <alignment horizontal="center" shrinkToFit="0" wrapText="0"/>
    </xf>
    <xf borderId="9" fillId="0" fontId="8" numFmtId="0" xfId="0" applyAlignment="1" applyBorder="1" applyFont="1">
      <alignment horizontal="center" shrinkToFit="0" vertical="bottom" wrapText="0"/>
    </xf>
    <xf borderId="8" fillId="0" fontId="8" numFmtId="0" xfId="0" applyAlignment="1" applyBorder="1" applyFont="1">
      <alignment horizontal="center" shrinkToFit="0" vertical="bottom" wrapText="0"/>
    </xf>
    <xf borderId="9" fillId="0" fontId="10" numFmtId="0" xfId="0" applyAlignment="1" applyBorder="1" applyFont="1">
      <alignment shrinkToFit="0" vertical="bottom" wrapText="0"/>
    </xf>
    <xf borderId="8" fillId="0" fontId="10" numFmtId="0" xfId="0" applyAlignment="1" applyBorder="1" applyFont="1">
      <alignment shrinkToFit="0" vertical="bottom" wrapText="0"/>
    </xf>
    <xf borderId="2" fillId="0" fontId="39" numFmtId="0" xfId="0" applyAlignment="1" applyBorder="1" applyFont="1">
      <alignment horizontal="center"/>
    </xf>
    <xf borderId="2" fillId="8" fontId="1" numFmtId="0" xfId="0" applyAlignment="1" applyBorder="1" applyFont="1">
      <alignment horizontal="center" vertical="top"/>
    </xf>
    <xf borderId="2" fillId="8" fontId="4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center"/>
    </xf>
    <xf borderId="0" fillId="0" fontId="3" numFmtId="169" xfId="0" applyFont="1" applyNumberFormat="1"/>
    <xf borderId="0" fillId="0" fontId="3" numFmtId="170" xfId="0" applyFont="1" applyNumberFormat="1"/>
    <xf borderId="12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2" fillId="0" fontId="3" numFmtId="0" xfId="0" applyAlignment="1" applyBorder="1" applyFont="1">
      <alignment horizontal="right"/>
    </xf>
    <xf borderId="1" fillId="0" fontId="3" numFmtId="166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customschemas.google.com/relationships/workbookmetadata" Target="metadata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6.14"/>
    <col customWidth="1" min="3" max="3" width="16.86"/>
    <col customWidth="1" min="7" max="7" width="17.14"/>
  </cols>
  <sheetData>
    <row r="1">
      <c r="B1" s="1" t="s">
        <v>0</v>
      </c>
    </row>
    <row r="2">
      <c r="B2" s="2" t="s">
        <v>1</v>
      </c>
      <c r="C2" s="2" t="s">
        <v>2</v>
      </c>
      <c r="D2" s="2" t="s">
        <v>3</v>
      </c>
      <c r="E2" s="2" t="s">
        <v>4</v>
      </c>
    </row>
    <row r="3">
      <c r="B3" s="3" t="s">
        <v>5</v>
      </c>
      <c r="C3" s="4" t="s">
        <v>6</v>
      </c>
      <c r="D3" s="4" t="s">
        <v>7</v>
      </c>
      <c r="E3" s="5">
        <v>5.0</v>
      </c>
    </row>
    <row r="4">
      <c r="B4" s="3" t="s">
        <v>5</v>
      </c>
      <c r="C4" s="4" t="s">
        <v>6</v>
      </c>
      <c r="D4" s="4" t="s">
        <v>8</v>
      </c>
      <c r="E4" s="5">
        <v>4.0</v>
      </c>
    </row>
    <row r="5">
      <c r="B5" s="3"/>
      <c r="C5" s="4" t="s">
        <v>6</v>
      </c>
      <c r="D5" s="4" t="s">
        <v>9</v>
      </c>
      <c r="E5" s="5">
        <v>3.0</v>
      </c>
    </row>
    <row r="6">
      <c r="B6" s="3"/>
      <c r="C6" s="4" t="s">
        <v>6</v>
      </c>
      <c r="D6" s="4" t="s">
        <v>7</v>
      </c>
      <c r="E6" s="5">
        <v>2.0</v>
      </c>
    </row>
    <row r="7">
      <c r="B7" s="3" t="s">
        <v>10</v>
      </c>
      <c r="C7" s="4" t="s">
        <v>6</v>
      </c>
      <c r="D7" s="4" t="s">
        <v>7</v>
      </c>
      <c r="E7" s="5">
        <v>1.0</v>
      </c>
    </row>
    <row r="8">
      <c r="B8" s="3" t="s">
        <v>11</v>
      </c>
      <c r="C8" s="4" t="s">
        <v>6</v>
      </c>
      <c r="D8" s="4" t="s">
        <v>8</v>
      </c>
      <c r="E8" s="5">
        <v>1.0</v>
      </c>
    </row>
    <row r="9">
      <c r="B9" s="3"/>
      <c r="C9" s="4"/>
      <c r="D9" s="4"/>
      <c r="E9" s="4">
        <v>0.0</v>
      </c>
    </row>
    <row r="10">
      <c r="B10" s="6">
        <v>45445.0</v>
      </c>
      <c r="C10" s="4" t="s">
        <v>6</v>
      </c>
      <c r="D10" s="4" t="s">
        <v>7</v>
      </c>
      <c r="E10" s="4">
        <v>1.0</v>
      </c>
    </row>
    <row r="11">
      <c r="B11" s="3"/>
      <c r="C11" s="4" t="s">
        <v>6</v>
      </c>
      <c r="D11" s="4" t="s">
        <v>7</v>
      </c>
      <c r="E11" s="4">
        <v>0.0</v>
      </c>
    </row>
    <row r="12">
      <c r="B12" s="6">
        <v>45510.0</v>
      </c>
      <c r="C12" s="4" t="s">
        <v>6</v>
      </c>
      <c r="D12" s="4" t="s">
        <v>7</v>
      </c>
      <c r="E12" s="4">
        <v>2.0</v>
      </c>
    </row>
    <row r="13">
      <c r="B13" s="7">
        <v>45614.0</v>
      </c>
      <c r="C13" s="4" t="s">
        <v>6</v>
      </c>
      <c r="D13" s="4" t="s">
        <v>12</v>
      </c>
      <c r="E13" s="4">
        <v>1.0</v>
      </c>
    </row>
    <row r="14">
      <c r="B14" s="3"/>
      <c r="C14" s="4"/>
      <c r="D14" s="4"/>
      <c r="E14" s="4">
        <v>1.0</v>
      </c>
    </row>
    <row r="15">
      <c r="B15" s="3"/>
      <c r="C15" s="4"/>
      <c r="D15" s="4"/>
      <c r="E15" s="4"/>
    </row>
    <row r="17">
      <c r="B17" s="8"/>
    </row>
    <row r="18">
      <c r="B18" s="8"/>
    </row>
    <row r="19">
      <c r="B19" s="8"/>
      <c r="D19" s="8"/>
      <c r="E19" s="8"/>
      <c r="F19" s="8"/>
      <c r="G19" s="8"/>
    </row>
    <row r="20">
      <c r="B20" s="9"/>
      <c r="D20" s="8"/>
    </row>
    <row r="21">
      <c r="B21" s="10"/>
      <c r="D21" s="10"/>
      <c r="E21" s="10"/>
      <c r="F21" s="10"/>
      <c r="G21" s="11"/>
    </row>
    <row r="22">
      <c r="B22" s="10"/>
      <c r="D22" s="10"/>
      <c r="E22" s="10"/>
      <c r="F22" s="10"/>
      <c r="G22" s="10"/>
    </row>
    <row r="23">
      <c r="B23" s="10"/>
      <c r="D23" s="10"/>
      <c r="E23" s="10"/>
      <c r="F23" s="10"/>
      <c r="G23" s="10"/>
    </row>
    <row r="24">
      <c r="B24" s="10"/>
      <c r="D24" s="10"/>
      <c r="E24" s="10"/>
      <c r="F24" s="10"/>
      <c r="G24" s="10"/>
    </row>
    <row r="25">
      <c r="B25" s="10"/>
      <c r="D25" s="10"/>
      <c r="E25" s="12"/>
      <c r="F25" s="10"/>
      <c r="G25" s="10"/>
    </row>
    <row r="26">
      <c r="B26" s="10"/>
      <c r="D26" s="10"/>
      <c r="E26" s="10"/>
      <c r="F26" s="10"/>
      <c r="G26" s="10"/>
    </row>
    <row r="27">
      <c r="B27" s="10"/>
      <c r="D27" s="10"/>
      <c r="E27" s="10"/>
      <c r="F27" s="10"/>
      <c r="G27" s="10"/>
    </row>
    <row r="28">
      <c r="B28" s="10"/>
      <c r="D28" s="10"/>
      <c r="E28" s="10"/>
      <c r="F28" s="10"/>
      <c r="G28" s="10"/>
    </row>
    <row r="29">
      <c r="B29" s="10"/>
      <c r="D29" s="10"/>
      <c r="E29" s="10"/>
      <c r="F29" s="10"/>
      <c r="G29" s="10"/>
    </row>
    <row r="30">
      <c r="B30" s="10"/>
      <c r="D30" s="10"/>
      <c r="E30" s="13"/>
      <c r="F30" s="10"/>
      <c r="G30" s="10"/>
    </row>
    <row r="31">
      <c r="B31" s="10"/>
      <c r="D31" s="10"/>
      <c r="E31" s="10"/>
      <c r="F31" s="10"/>
      <c r="G31" s="10"/>
    </row>
    <row r="32">
      <c r="B32" s="10"/>
      <c r="D32" s="10"/>
      <c r="E32" s="10"/>
      <c r="F32" s="10"/>
      <c r="G32" s="10"/>
    </row>
    <row r="33">
      <c r="B33" s="14"/>
      <c r="D33" s="10"/>
      <c r="E33" s="10"/>
      <c r="F33" s="10"/>
      <c r="G33" s="10"/>
    </row>
  </sheetData>
  <mergeCells count="19">
    <mergeCell ref="B1:E1"/>
    <mergeCell ref="B17:G17"/>
    <mergeCell ref="B18:G18"/>
    <mergeCell ref="B19:C19"/>
    <mergeCell ref="B20:C20"/>
    <mergeCell ref="D20:G20"/>
    <mergeCell ref="B21:C21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28:C2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57"/>
    <col customWidth="1" min="4" max="4" width="18.71"/>
    <col customWidth="1" min="5" max="5" width="17.43"/>
    <col customWidth="1" min="7" max="7" width="39.71"/>
  </cols>
  <sheetData>
    <row r="2">
      <c r="B2" s="15" t="s">
        <v>13</v>
      </c>
      <c r="C2" s="16"/>
      <c r="D2" s="16"/>
      <c r="E2" s="16"/>
      <c r="F2" s="16"/>
      <c r="G2" s="17"/>
      <c r="I2" s="15" t="s">
        <v>13</v>
      </c>
      <c r="J2" s="16"/>
      <c r="K2" s="16"/>
      <c r="L2" s="16"/>
      <c r="M2" s="16"/>
      <c r="N2" s="17"/>
    </row>
    <row r="3">
      <c r="B3" s="18" t="s">
        <v>14</v>
      </c>
      <c r="C3" s="16"/>
      <c r="D3" s="16"/>
      <c r="E3" s="16"/>
      <c r="F3" s="16"/>
      <c r="G3" s="17"/>
      <c r="I3" s="18" t="s">
        <v>14</v>
      </c>
      <c r="J3" s="16"/>
      <c r="K3" s="16"/>
      <c r="L3" s="16"/>
      <c r="M3" s="16"/>
      <c r="N3" s="17"/>
    </row>
    <row r="4">
      <c r="B4" s="18" t="s">
        <v>15</v>
      </c>
      <c r="C4" s="17"/>
      <c r="D4" s="19" t="s">
        <v>16</v>
      </c>
      <c r="E4" s="19" t="s">
        <v>17</v>
      </c>
      <c r="F4" s="19" t="s">
        <v>18</v>
      </c>
      <c r="G4" s="19" t="s">
        <v>19</v>
      </c>
      <c r="I4" s="18" t="s">
        <v>15</v>
      </c>
      <c r="J4" s="17"/>
      <c r="K4" s="19" t="s">
        <v>16</v>
      </c>
      <c r="L4" s="19" t="s">
        <v>17</v>
      </c>
      <c r="M4" s="19" t="s">
        <v>18</v>
      </c>
      <c r="N4" s="19" t="s">
        <v>19</v>
      </c>
    </row>
    <row r="5">
      <c r="B5" s="20" t="s">
        <v>20</v>
      </c>
      <c r="C5" s="17"/>
      <c r="D5" s="4" t="s">
        <v>21</v>
      </c>
      <c r="E5" s="4" t="s">
        <v>22</v>
      </c>
      <c r="F5" s="4">
        <v>1.0</v>
      </c>
      <c r="G5" s="4" t="s">
        <v>23</v>
      </c>
      <c r="I5" s="20" t="s">
        <v>24</v>
      </c>
      <c r="J5" s="17"/>
      <c r="K5" s="4" t="s">
        <v>21</v>
      </c>
      <c r="L5" s="4" t="s">
        <v>25</v>
      </c>
      <c r="M5" s="4">
        <v>1.0</v>
      </c>
      <c r="N5" s="4" t="s">
        <v>23</v>
      </c>
    </row>
    <row r="6">
      <c r="B6" s="20" t="s">
        <v>20</v>
      </c>
      <c r="C6" s="17"/>
      <c r="D6" s="4" t="s">
        <v>21</v>
      </c>
      <c r="E6" s="4" t="s">
        <v>26</v>
      </c>
      <c r="F6" s="4">
        <v>4.0</v>
      </c>
      <c r="G6" s="4" t="s">
        <v>23</v>
      </c>
      <c r="I6" s="20" t="s">
        <v>24</v>
      </c>
      <c r="J6" s="17"/>
      <c r="K6" s="4" t="s">
        <v>21</v>
      </c>
      <c r="L6" s="4" t="s">
        <v>27</v>
      </c>
      <c r="M6" s="4">
        <v>1.0</v>
      </c>
      <c r="N6" s="4" t="s">
        <v>23</v>
      </c>
    </row>
    <row r="7">
      <c r="B7" s="20" t="s">
        <v>20</v>
      </c>
      <c r="C7" s="17"/>
      <c r="D7" s="4" t="s">
        <v>21</v>
      </c>
      <c r="E7" s="4" t="s">
        <v>28</v>
      </c>
      <c r="F7" s="4">
        <v>6.0</v>
      </c>
      <c r="G7" s="4" t="s">
        <v>23</v>
      </c>
      <c r="I7" s="20" t="s">
        <v>24</v>
      </c>
      <c r="J7" s="17"/>
      <c r="K7" s="4" t="s">
        <v>21</v>
      </c>
      <c r="L7" s="4" t="s">
        <v>29</v>
      </c>
      <c r="M7" s="4">
        <v>2.0</v>
      </c>
      <c r="N7" s="4" t="s">
        <v>23</v>
      </c>
    </row>
    <row r="8">
      <c r="B8" s="20" t="s">
        <v>20</v>
      </c>
      <c r="C8" s="17"/>
      <c r="D8" s="4" t="s">
        <v>21</v>
      </c>
      <c r="E8" s="4" t="s">
        <v>30</v>
      </c>
      <c r="F8" s="4">
        <v>1.0</v>
      </c>
      <c r="G8" s="4" t="s">
        <v>23</v>
      </c>
      <c r="I8" s="20" t="s">
        <v>24</v>
      </c>
      <c r="J8" s="17"/>
      <c r="K8" s="4" t="s">
        <v>21</v>
      </c>
      <c r="L8" s="4" t="s">
        <v>31</v>
      </c>
      <c r="M8" s="4">
        <v>1.0</v>
      </c>
      <c r="N8" s="4" t="s">
        <v>23</v>
      </c>
    </row>
    <row r="9">
      <c r="B9" s="20" t="s">
        <v>20</v>
      </c>
      <c r="C9" s="17"/>
      <c r="D9" s="4" t="s">
        <v>21</v>
      </c>
      <c r="E9" s="4" t="s">
        <v>32</v>
      </c>
      <c r="F9" s="4">
        <v>1.0</v>
      </c>
      <c r="G9" s="4" t="s">
        <v>23</v>
      </c>
      <c r="I9" s="20" t="s">
        <v>24</v>
      </c>
      <c r="J9" s="17"/>
      <c r="K9" s="4" t="s">
        <v>21</v>
      </c>
      <c r="L9" s="4" t="s">
        <v>22</v>
      </c>
      <c r="M9" s="4">
        <v>2.0</v>
      </c>
      <c r="N9" s="4" t="s">
        <v>23</v>
      </c>
    </row>
    <row r="10">
      <c r="B10" s="20" t="s">
        <v>20</v>
      </c>
      <c r="C10" s="17"/>
      <c r="D10" s="4" t="s">
        <v>21</v>
      </c>
      <c r="E10" s="4" t="s">
        <v>25</v>
      </c>
      <c r="F10" s="4">
        <v>11.0</v>
      </c>
      <c r="G10" s="4" t="s">
        <v>33</v>
      </c>
      <c r="I10" s="20" t="s">
        <v>24</v>
      </c>
      <c r="J10" s="17"/>
      <c r="K10" s="4" t="s">
        <v>21</v>
      </c>
      <c r="L10" s="4" t="s">
        <v>26</v>
      </c>
      <c r="M10" s="4">
        <v>2.0</v>
      </c>
      <c r="N10" s="4" t="s">
        <v>23</v>
      </c>
    </row>
    <row r="11">
      <c r="B11" s="20" t="s">
        <v>20</v>
      </c>
      <c r="C11" s="17"/>
      <c r="D11" s="4" t="s">
        <v>21</v>
      </c>
      <c r="E11" s="4" t="s">
        <v>27</v>
      </c>
      <c r="F11" s="4">
        <v>13.0</v>
      </c>
      <c r="G11" s="4" t="s">
        <v>33</v>
      </c>
      <c r="I11" s="20" t="s">
        <v>24</v>
      </c>
      <c r="J11" s="17"/>
      <c r="K11" s="4" t="s">
        <v>21</v>
      </c>
      <c r="L11" s="4" t="s">
        <v>34</v>
      </c>
      <c r="M11" s="4">
        <v>1.0</v>
      </c>
      <c r="N11" s="4" t="s">
        <v>23</v>
      </c>
    </row>
    <row r="12">
      <c r="B12" s="20" t="s">
        <v>20</v>
      </c>
      <c r="C12" s="17"/>
      <c r="D12" s="4" t="s">
        <v>21</v>
      </c>
      <c r="E12" s="4" t="s">
        <v>35</v>
      </c>
      <c r="F12" s="4">
        <v>10.0</v>
      </c>
      <c r="G12" s="4" t="s">
        <v>33</v>
      </c>
      <c r="I12" s="20" t="s">
        <v>24</v>
      </c>
      <c r="J12" s="17"/>
      <c r="K12" s="4" t="s">
        <v>21</v>
      </c>
      <c r="L12" s="4" t="s">
        <v>25</v>
      </c>
      <c r="M12" s="4">
        <v>3.0</v>
      </c>
      <c r="N12" s="4" t="s">
        <v>36</v>
      </c>
    </row>
    <row r="13">
      <c r="B13" s="20" t="s">
        <v>20</v>
      </c>
      <c r="C13" s="17"/>
      <c r="D13" s="4" t="s">
        <v>21</v>
      </c>
      <c r="E13" s="4" t="s">
        <v>29</v>
      </c>
      <c r="F13" s="4">
        <v>19.0</v>
      </c>
      <c r="G13" s="4" t="s">
        <v>33</v>
      </c>
      <c r="I13" s="20" t="s">
        <v>24</v>
      </c>
      <c r="J13" s="17"/>
      <c r="K13" s="4" t="s">
        <v>21</v>
      </c>
      <c r="L13" s="4" t="s">
        <v>27</v>
      </c>
      <c r="M13" s="4">
        <v>22.0</v>
      </c>
      <c r="N13" s="4" t="s">
        <v>36</v>
      </c>
    </row>
    <row r="14">
      <c r="B14" s="20" t="s">
        <v>20</v>
      </c>
      <c r="C14" s="17"/>
      <c r="D14" s="4" t="s">
        <v>21</v>
      </c>
      <c r="E14" s="4" t="s">
        <v>31</v>
      </c>
      <c r="F14" s="4">
        <v>16.0</v>
      </c>
      <c r="G14" s="4" t="s">
        <v>33</v>
      </c>
      <c r="I14" s="20" t="s">
        <v>24</v>
      </c>
      <c r="J14" s="17"/>
      <c r="K14" s="4" t="s">
        <v>21</v>
      </c>
      <c r="L14" s="4" t="s">
        <v>29</v>
      </c>
      <c r="M14" s="4">
        <v>3.0</v>
      </c>
      <c r="N14" s="4" t="s">
        <v>36</v>
      </c>
    </row>
    <row r="15">
      <c r="B15" s="20" t="s">
        <v>20</v>
      </c>
      <c r="C15" s="17"/>
      <c r="D15" s="4" t="s">
        <v>21</v>
      </c>
      <c r="E15" s="4" t="s">
        <v>22</v>
      </c>
      <c r="F15" s="4">
        <v>17.0</v>
      </c>
      <c r="G15" s="4" t="s">
        <v>33</v>
      </c>
      <c r="I15" s="20" t="s">
        <v>24</v>
      </c>
      <c r="J15" s="17"/>
      <c r="K15" s="4" t="s">
        <v>21</v>
      </c>
      <c r="L15" s="4" t="s">
        <v>31</v>
      </c>
      <c r="M15" s="4">
        <v>5.0</v>
      </c>
      <c r="N15" s="4" t="s">
        <v>36</v>
      </c>
    </row>
    <row r="16">
      <c r="B16" s="20" t="s">
        <v>20</v>
      </c>
      <c r="C16" s="17"/>
      <c r="D16" s="4" t="s">
        <v>21</v>
      </c>
      <c r="E16" s="4" t="s">
        <v>37</v>
      </c>
      <c r="F16" s="4">
        <v>11.0</v>
      </c>
      <c r="G16" s="4" t="s">
        <v>33</v>
      </c>
      <c r="I16" s="20" t="s">
        <v>24</v>
      </c>
      <c r="J16" s="17"/>
      <c r="K16" s="4" t="s">
        <v>21</v>
      </c>
      <c r="L16" s="4" t="s">
        <v>37</v>
      </c>
      <c r="M16" s="4">
        <v>16.0</v>
      </c>
      <c r="N16" s="4" t="s">
        <v>36</v>
      </c>
    </row>
    <row r="17">
      <c r="B17" s="20" t="s">
        <v>20</v>
      </c>
      <c r="C17" s="17"/>
      <c r="D17" s="4" t="s">
        <v>21</v>
      </c>
      <c r="E17" s="4" t="s">
        <v>28</v>
      </c>
      <c r="F17" s="4">
        <v>8.0</v>
      </c>
      <c r="G17" s="4" t="s">
        <v>33</v>
      </c>
      <c r="I17" s="20" t="s">
        <v>24</v>
      </c>
      <c r="J17" s="17"/>
      <c r="K17" s="4" t="s">
        <v>21</v>
      </c>
      <c r="L17" s="4" t="s">
        <v>26</v>
      </c>
      <c r="M17" s="4">
        <v>10.0</v>
      </c>
      <c r="N17" s="4" t="s">
        <v>36</v>
      </c>
    </row>
    <row r="18">
      <c r="B18" s="20" t="s">
        <v>20</v>
      </c>
      <c r="C18" s="17"/>
      <c r="D18" s="4" t="s">
        <v>21</v>
      </c>
      <c r="E18" s="4" t="s">
        <v>34</v>
      </c>
      <c r="F18" s="4">
        <v>7.0</v>
      </c>
      <c r="G18" s="4" t="s">
        <v>33</v>
      </c>
      <c r="I18" s="20" t="s">
        <v>24</v>
      </c>
      <c r="J18" s="17"/>
      <c r="K18" s="4" t="s">
        <v>21</v>
      </c>
      <c r="L18" s="4" t="s">
        <v>28</v>
      </c>
      <c r="M18" s="4">
        <v>18.0</v>
      </c>
      <c r="N18" s="4" t="s">
        <v>36</v>
      </c>
    </row>
    <row r="19">
      <c r="B19" s="20" t="s">
        <v>20</v>
      </c>
      <c r="C19" s="17"/>
      <c r="D19" s="4" t="s">
        <v>21</v>
      </c>
      <c r="E19" s="4" t="s">
        <v>30</v>
      </c>
      <c r="F19" s="4">
        <v>5.0</v>
      </c>
      <c r="G19" s="4" t="s">
        <v>33</v>
      </c>
      <c r="I19" s="20" t="s">
        <v>24</v>
      </c>
      <c r="J19" s="17"/>
      <c r="K19" s="4" t="s">
        <v>21</v>
      </c>
      <c r="L19" s="4" t="s">
        <v>34</v>
      </c>
      <c r="M19" s="4">
        <v>10.0</v>
      </c>
      <c r="N19" s="4" t="s">
        <v>36</v>
      </c>
    </row>
    <row r="20">
      <c r="B20" s="20" t="s">
        <v>20</v>
      </c>
      <c r="C20" s="17"/>
      <c r="D20" s="4" t="s">
        <v>21</v>
      </c>
      <c r="E20" s="4" t="s">
        <v>32</v>
      </c>
      <c r="F20" s="4">
        <v>4.0</v>
      </c>
      <c r="G20" s="4" t="s">
        <v>33</v>
      </c>
      <c r="I20" s="20" t="s">
        <v>24</v>
      </c>
      <c r="J20" s="17"/>
      <c r="K20" s="4" t="s">
        <v>21</v>
      </c>
      <c r="L20" s="4" t="s">
        <v>30</v>
      </c>
      <c r="M20" s="4">
        <v>8.0</v>
      </c>
      <c r="N20" s="4" t="s">
        <v>36</v>
      </c>
    </row>
    <row r="21">
      <c r="E21" s="21" t="s">
        <v>38</v>
      </c>
      <c r="F21" s="4">
        <f>SUM(F5:F20)</f>
        <v>134</v>
      </c>
      <c r="I21" s="20" t="s">
        <v>24</v>
      </c>
      <c r="J21" s="17"/>
      <c r="K21" s="4" t="s">
        <v>21</v>
      </c>
      <c r="L21" s="4" t="s">
        <v>32</v>
      </c>
      <c r="M21" s="4">
        <v>3.0</v>
      </c>
      <c r="N21" s="4" t="s">
        <v>36</v>
      </c>
    </row>
    <row r="22">
      <c r="L22" s="21" t="s">
        <v>38</v>
      </c>
      <c r="M22" s="5">
        <f>SUM(M5:M21)</f>
        <v>108</v>
      </c>
    </row>
    <row r="24">
      <c r="B24" s="15" t="s">
        <v>13</v>
      </c>
      <c r="C24" s="16"/>
      <c r="D24" s="16"/>
      <c r="E24" s="16"/>
      <c r="F24" s="16"/>
      <c r="G24" s="17"/>
      <c r="I24" s="15" t="s">
        <v>13</v>
      </c>
      <c r="J24" s="16"/>
      <c r="K24" s="16"/>
      <c r="L24" s="16"/>
      <c r="M24" s="16"/>
      <c r="N24" s="17"/>
    </row>
    <row r="25">
      <c r="B25" s="18" t="s">
        <v>14</v>
      </c>
      <c r="C25" s="16"/>
      <c r="D25" s="16"/>
      <c r="E25" s="16"/>
      <c r="F25" s="16"/>
      <c r="G25" s="17"/>
      <c r="I25" s="18" t="s">
        <v>14</v>
      </c>
      <c r="J25" s="16"/>
      <c r="K25" s="16"/>
      <c r="L25" s="16"/>
      <c r="M25" s="16"/>
      <c r="N25" s="17"/>
    </row>
    <row r="26">
      <c r="B26" s="18" t="s">
        <v>15</v>
      </c>
      <c r="C26" s="17"/>
      <c r="D26" s="19" t="s">
        <v>16</v>
      </c>
      <c r="E26" s="19" t="s">
        <v>17</v>
      </c>
      <c r="F26" s="19" t="s">
        <v>18</v>
      </c>
      <c r="G26" s="19" t="s">
        <v>19</v>
      </c>
      <c r="I26" s="18" t="s">
        <v>15</v>
      </c>
      <c r="J26" s="17"/>
      <c r="K26" s="19" t="s">
        <v>16</v>
      </c>
      <c r="L26" s="19" t="s">
        <v>17</v>
      </c>
      <c r="M26" s="19" t="s">
        <v>18</v>
      </c>
      <c r="N26" s="19" t="s">
        <v>19</v>
      </c>
    </row>
    <row r="27">
      <c r="B27" s="20" t="s">
        <v>39</v>
      </c>
      <c r="C27" s="17"/>
      <c r="D27" s="4" t="s">
        <v>21</v>
      </c>
      <c r="E27" s="2" t="s">
        <v>40</v>
      </c>
      <c r="F27" s="4">
        <v>26.0</v>
      </c>
      <c r="G27" s="4" t="s">
        <v>41</v>
      </c>
      <c r="I27" s="20" t="s">
        <v>39</v>
      </c>
      <c r="J27" s="17"/>
      <c r="K27" s="4" t="s">
        <v>21</v>
      </c>
      <c r="L27" s="2" t="s">
        <v>42</v>
      </c>
      <c r="M27" s="4">
        <v>15.0</v>
      </c>
      <c r="N27" s="4" t="s">
        <v>43</v>
      </c>
    </row>
    <row r="28">
      <c r="B28" s="20" t="s">
        <v>39</v>
      </c>
      <c r="C28" s="17"/>
      <c r="D28" s="4" t="s">
        <v>21</v>
      </c>
      <c r="E28" s="2" t="s">
        <v>44</v>
      </c>
      <c r="F28" s="4">
        <v>8.0</v>
      </c>
      <c r="G28" s="4" t="s">
        <v>41</v>
      </c>
      <c r="I28" s="20" t="s">
        <v>39</v>
      </c>
      <c r="J28" s="17"/>
      <c r="K28" s="4" t="s">
        <v>21</v>
      </c>
      <c r="L28" s="2" t="s">
        <v>45</v>
      </c>
      <c r="M28" s="4">
        <v>16.0</v>
      </c>
      <c r="N28" s="4" t="s">
        <v>43</v>
      </c>
    </row>
    <row r="29">
      <c r="B29" s="20" t="s">
        <v>39</v>
      </c>
      <c r="C29" s="17"/>
      <c r="D29" s="4" t="s">
        <v>21</v>
      </c>
      <c r="E29" s="2" t="s">
        <v>42</v>
      </c>
      <c r="F29" s="4">
        <v>50.0</v>
      </c>
      <c r="G29" s="4" t="s">
        <v>41</v>
      </c>
      <c r="I29" s="20" t="s">
        <v>39</v>
      </c>
      <c r="J29" s="17"/>
      <c r="K29" s="4" t="s">
        <v>21</v>
      </c>
      <c r="L29" s="2" t="s">
        <v>46</v>
      </c>
      <c r="M29" s="4">
        <v>15.0</v>
      </c>
      <c r="N29" s="4" t="s">
        <v>43</v>
      </c>
    </row>
    <row r="30">
      <c r="B30" s="20" t="s">
        <v>39</v>
      </c>
      <c r="C30" s="17"/>
      <c r="D30" s="4" t="s">
        <v>21</v>
      </c>
      <c r="E30" s="2" t="s">
        <v>45</v>
      </c>
      <c r="F30" s="4">
        <v>7.0</v>
      </c>
      <c r="G30" s="4" t="s">
        <v>41</v>
      </c>
      <c r="L30" s="21" t="s">
        <v>38</v>
      </c>
      <c r="M30" s="4">
        <f>SUM(M27:M29)</f>
        <v>46</v>
      </c>
    </row>
    <row r="31">
      <c r="B31" s="20" t="s">
        <v>39</v>
      </c>
      <c r="C31" s="17"/>
      <c r="D31" s="4" t="s">
        <v>21</v>
      </c>
      <c r="E31" s="2" t="s">
        <v>47</v>
      </c>
      <c r="F31" s="4">
        <v>14.0</v>
      </c>
      <c r="G31" s="4" t="s">
        <v>41</v>
      </c>
    </row>
    <row r="32">
      <c r="B32" s="20" t="s">
        <v>39</v>
      </c>
      <c r="C32" s="17"/>
      <c r="D32" s="4" t="s">
        <v>21</v>
      </c>
      <c r="E32" s="2" t="s">
        <v>46</v>
      </c>
      <c r="F32" s="4">
        <v>78.0</v>
      </c>
      <c r="G32" s="4" t="s">
        <v>41</v>
      </c>
      <c r="I32" s="15" t="s">
        <v>13</v>
      </c>
      <c r="J32" s="16"/>
      <c r="K32" s="16"/>
      <c r="L32" s="16"/>
      <c r="M32" s="16"/>
      <c r="N32" s="17"/>
    </row>
    <row r="33">
      <c r="E33" s="5" t="s">
        <v>38</v>
      </c>
      <c r="F33" s="4">
        <f>SUM(F27:F32)</f>
        <v>183</v>
      </c>
      <c r="I33" s="18" t="s">
        <v>14</v>
      </c>
      <c r="J33" s="16"/>
      <c r="K33" s="16"/>
      <c r="L33" s="16"/>
      <c r="M33" s="16"/>
      <c r="N33" s="17"/>
    </row>
    <row r="34">
      <c r="I34" s="18" t="s">
        <v>15</v>
      </c>
      <c r="J34" s="17"/>
      <c r="K34" s="19" t="s">
        <v>16</v>
      </c>
      <c r="L34" s="19" t="s">
        <v>17</v>
      </c>
      <c r="M34" s="19" t="s">
        <v>18</v>
      </c>
      <c r="N34" s="19" t="s">
        <v>19</v>
      </c>
    </row>
    <row r="35">
      <c r="B35" s="15" t="s">
        <v>13</v>
      </c>
      <c r="C35" s="16"/>
      <c r="D35" s="16"/>
      <c r="E35" s="16"/>
      <c r="F35" s="16"/>
      <c r="G35" s="17"/>
      <c r="I35" s="20" t="s">
        <v>48</v>
      </c>
      <c r="J35" s="17"/>
      <c r="K35" s="4" t="s">
        <v>21</v>
      </c>
      <c r="L35" s="2" t="s">
        <v>49</v>
      </c>
      <c r="M35" s="4">
        <v>30.0</v>
      </c>
      <c r="N35" s="4" t="s">
        <v>43</v>
      </c>
    </row>
    <row r="36">
      <c r="B36" s="18" t="s">
        <v>14</v>
      </c>
      <c r="C36" s="16"/>
      <c r="D36" s="16"/>
      <c r="E36" s="16"/>
      <c r="F36" s="16"/>
      <c r="G36" s="17"/>
      <c r="I36" s="20" t="s">
        <v>48</v>
      </c>
      <c r="J36" s="17"/>
      <c r="K36" s="4" t="s">
        <v>21</v>
      </c>
      <c r="L36" s="2" t="s">
        <v>50</v>
      </c>
      <c r="M36" s="4">
        <v>30.0</v>
      </c>
      <c r="N36" s="4" t="s">
        <v>43</v>
      </c>
    </row>
    <row r="37">
      <c r="B37" s="18" t="s">
        <v>15</v>
      </c>
      <c r="C37" s="17"/>
      <c r="D37" s="19" t="s">
        <v>16</v>
      </c>
      <c r="E37" s="19" t="s">
        <v>17</v>
      </c>
      <c r="F37" s="19" t="s">
        <v>18</v>
      </c>
      <c r="G37" s="19" t="s">
        <v>19</v>
      </c>
      <c r="I37" s="20" t="s">
        <v>48</v>
      </c>
      <c r="J37" s="17"/>
      <c r="K37" s="4" t="s">
        <v>21</v>
      </c>
      <c r="L37" s="2" t="s">
        <v>51</v>
      </c>
      <c r="M37" s="4">
        <v>20.0</v>
      </c>
      <c r="N37" s="4" t="s">
        <v>43</v>
      </c>
    </row>
    <row r="38">
      <c r="B38" s="20" t="s">
        <v>48</v>
      </c>
      <c r="C38" s="17"/>
      <c r="D38" s="4" t="s">
        <v>21</v>
      </c>
      <c r="E38" s="2" t="s">
        <v>52</v>
      </c>
      <c r="F38" s="4">
        <v>22.0</v>
      </c>
      <c r="G38" s="4" t="s">
        <v>41</v>
      </c>
      <c r="I38" s="22"/>
      <c r="K38" s="23"/>
      <c r="L38" s="21" t="s">
        <v>38</v>
      </c>
      <c r="M38" s="5">
        <f>SUM(M35:M37)</f>
        <v>80</v>
      </c>
      <c r="N38" s="24"/>
    </row>
    <row r="39">
      <c r="B39" s="20" t="s">
        <v>48</v>
      </c>
      <c r="C39" s="17"/>
      <c r="D39" s="4" t="s">
        <v>21</v>
      </c>
      <c r="E39" s="2" t="s">
        <v>50</v>
      </c>
      <c r="F39" s="4">
        <v>81.0</v>
      </c>
      <c r="G39" s="4" t="s">
        <v>41</v>
      </c>
      <c r="L39" s="22"/>
    </row>
    <row r="40">
      <c r="B40" s="20" t="s">
        <v>48</v>
      </c>
      <c r="C40" s="17"/>
      <c r="D40" s="4" t="s">
        <v>21</v>
      </c>
      <c r="E40" s="2" t="s">
        <v>53</v>
      </c>
      <c r="F40" s="4">
        <v>12.0</v>
      </c>
      <c r="G40" s="4" t="s">
        <v>41</v>
      </c>
    </row>
    <row r="41">
      <c r="B41" s="20" t="s">
        <v>48</v>
      </c>
      <c r="C41" s="17"/>
      <c r="D41" s="4" t="s">
        <v>21</v>
      </c>
      <c r="E41" s="2" t="s">
        <v>49</v>
      </c>
      <c r="F41" s="4">
        <v>58.0</v>
      </c>
      <c r="G41" s="4" t="s">
        <v>41</v>
      </c>
      <c r="I41" s="15" t="s">
        <v>13</v>
      </c>
      <c r="J41" s="16"/>
      <c r="K41" s="16"/>
      <c r="L41" s="16"/>
      <c r="M41" s="16"/>
      <c r="N41" s="17"/>
    </row>
    <row r="42">
      <c r="B42" s="20" t="s">
        <v>48</v>
      </c>
      <c r="C42" s="17"/>
      <c r="D42" s="4" t="s">
        <v>21</v>
      </c>
      <c r="E42" s="2" t="s">
        <v>51</v>
      </c>
      <c r="F42" s="4">
        <v>23.0</v>
      </c>
      <c r="G42" s="4" t="s">
        <v>41</v>
      </c>
      <c r="I42" s="18" t="s">
        <v>14</v>
      </c>
      <c r="J42" s="16"/>
      <c r="K42" s="16"/>
      <c r="L42" s="16"/>
      <c r="M42" s="16"/>
      <c r="N42" s="17"/>
    </row>
    <row r="43">
      <c r="B43" s="22"/>
      <c r="D43" s="23"/>
      <c r="E43" s="21" t="s">
        <v>38</v>
      </c>
      <c r="F43" s="4">
        <f>SUM(F38:F42)</f>
        <v>196</v>
      </c>
      <c r="G43" s="24"/>
      <c r="I43" s="18" t="s">
        <v>15</v>
      </c>
      <c r="J43" s="17"/>
      <c r="K43" s="19" t="s">
        <v>16</v>
      </c>
      <c r="L43" s="19" t="s">
        <v>17</v>
      </c>
      <c r="M43" s="19" t="s">
        <v>18</v>
      </c>
      <c r="N43" s="19" t="s">
        <v>19</v>
      </c>
    </row>
    <row r="44">
      <c r="E44" s="22"/>
      <c r="I44" s="20" t="s">
        <v>54</v>
      </c>
      <c r="J44" s="17"/>
      <c r="K44" s="4" t="s">
        <v>21</v>
      </c>
      <c r="L44" s="2" t="s">
        <v>49</v>
      </c>
      <c r="M44" s="4">
        <v>5.0</v>
      </c>
      <c r="N44" s="4" t="s">
        <v>43</v>
      </c>
    </row>
    <row r="45">
      <c r="I45" s="20" t="s">
        <v>54</v>
      </c>
      <c r="J45" s="17"/>
      <c r="K45" s="4" t="s">
        <v>21</v>
      </c>
      <c r="L45" s="2" t="s">
        <v>50</v>
      </c>
      <c r="M45" s="4">
        <v>5.0</v>
      </c>
      <c r="N45" s="4" t="s">
        <v>43</v>
      </c>
    </row>
    <row r="46">
      <c r="B46" s="15" t="s">
        <v>13</v>
      </c>
      <c r="C46" s="16"/>
      <c r="D46" s="16"/>
      <c r="E46" s="16"/>
      <c r="F46" s="16"/>
      <c r="G46" s="17"/>
      <c r="I46" s="20" t="s">
        <v>54</v>
      </c>
      <c r="J46" s="17"/>
      <c r="K46" s="4" t="s">
        <v>21</v>
      </c>
      <c r="L46" s="2" t="s">
        <v>51</v>
      </c>
      <c r="M46" s="4">
        <v>15.0</v>
      </c>
      <c r="N46" s="4" t="s">
        <v>43</v>
      </c>
    </row>
    <row r="47">
      <c r="B47" s="18" t="s">
        <v>14</v>
      </c>
      <c r="C47" s="16"/>
      <c r="D47" s="16"/>
      <c r="E47" s="16"/>
      <c r="F47" s="16"/>
      <c r="G47" s="17"/>
      <c r="L47" s="21" t="s">
        <v>38</v>
      </c>
      <c r="M47" s="5">
        <f>SUM(M44:M46)</f>
        <v>25</v>
      </c>
    </row>
    <row r="48">
      <c r="B48" s="18" t="s">
        <v>15</v>
      </c>
      <c r="C48" s="17"/>
      <c r="D48" s="19" t="s">
        <v>16</v>
      </c>
      <c r="E48" s="19" t="s">
        <v>17</v>
      </c>
      <c r="F48" s="19" t="s">
        <v>18</v>
      </c>
      <c r="G48" s="19" t="s">
        <v>19</v>
      </c>
    </row>
    <row r="49">
      <c r="B49" s="20" t="s">
        <v>54</v>
      </c>
      <c r="C49" s="17"/>
      <c r="D49" s="4" t="s">
        <v>21</v>
      </c>
      <c r="E49" s="2" t="s">
        <v>49</v>
      </c>
      <c r="F49" s="4">
        <v>25.0</v>
      </c>
      <c r="G49" s="4" t="s">
        <v>41</v>
      </c>
    </row>
    <row r="50">
      <c r="B50" s="20" t="s">
        <v>54</v>
      </c>
      <c r="C50" s="17"/>
      <c r="D50" s="4" t="s">
        <v>21</v>
      </c>
      <c r="E50" s="2" t="s">
        <v>50</v>
      </c>
      <c r="F50" s="4">
        <v>7.0</v>
      </c>
      <c r="G50" s="4" t="s">
        <v>41</v>
      </c>
      <c r="I50" s="15" t="s">
        <v>13</v>
      </c>
      <c r="J50" s="16"/>
      <c r="K50" s="16"/>
      <c r="L50" s="16"/>
      <c r="M50" s="16"/>
      <c r="N50" s="17"/>
    </row>
    <row r="51">
      <c r="B51" s="20" t="s">
        <v>54</v>
      </c>
      <c r="C51" s="17"/>
      <c r="D51" s="4" t="s">
        <v>21</v>
      </c>
      <c r="E51" s="2" t="s">
        <v>51</v>
      </c>
      <c r="F51" s="4">
        <v>89.0</v>
      </c>
      <c r="G51" s="4" t="s">
        <v>41</v>
      </c>
      <c r="I51" s="18" t="s">
        <v>14</v>
      </c>
      <c r="J51" s="16"/>
      <c r="K51" s="16"/>
      <c r="L51" s="16"/>
      <c r="M51" s="16"/>
      <c r="N51" s="17"/>
    </row>
    <row r="52">
      <c r="E52" s="21" t="s">
        <v>38</v>
      </c>
      <c r="F52" s="4">
        <f>SUM(F49:F51)</f>
        <v>121</v>
      </c>
      <c r="I52" s="18" t="s">
        <v>15</v>
      </c>
      <c r="J52" s="17"/>
      <c r="K52" s="19" t="s">
        <v>16</v>
      </c>
      <c r="L52" s="19" t="s">
        <v>17</v>
      </c>
      <c r="M52" s="19" t="s">
        <v>18</v>
      </c>
      <c r="N52" s="19" t="s">
        <v>19</v>
      </c>
    </row>
    <row r="53">
      <c r="I53" s="25" t="s">
        <v>55</v>
      </c>
      <c r="J53" s="17"/>
      <c r="K53" s="4"/>
      <c r="L53" s="4"/>
      <c r="M53" s="4">
        <v>7.0</v>
      </c>
      <c r="N53" s="4" t="s">
        <v>23</v>
      </c>
    </row>
  </sheetData>
  <mergeCells count="86">
    <mergeCell ref="I29:J29"/>
    <mergeCell ref="I32:N32"/>
    <mergeCell ref="I33:N33"/>
    <mergeCell ref="I34:J34"/>
    <mergeCell ref="I20:J20"/>
    <mergeCell ref="I21:J21"/>
    <mergeCell ref="I24:N24"/>
    <mergeCell ref="I25:N25"/>
    <mergeCell ref="I26:J26"/>
    <mergeCell ref="I27:J27"/>
    <mergeCell ref="I28:J28"/>
    <mergeCell ref="B29:C29"/>
    <mergeCell ref="B30:C30"/>
    <mergeCell ref="B31:C31"/>
    <mergeCell ref="B32:C32"/>
    <mergeCell ref="B35:G35"/>
    <mergeCell ref="I35:J35"/>
    <mergeCell ref="I36:J36"/>
    <mergeCell ref="B36:G36"/>
    <mergeCell ref="B37:C37"/>
    <mergeCell ref="I37:J37"/>
    <mergeCell ref="B38:C38"/>
    <mergeCell ref="I38:J38"/>
    <mergeCell ref="B39:C39"/>
    <mergeCell ref="B40:C40"/>
    <mergeCell ref="B41:C41"/>
    <mergeCell ref="I41:N41"/>
    <mergeCell ref="B42:C42"/>
    <mergeCell ref="I42:N42"/>
    <mergeCell ref="B43:C43"/>
    <mergeCell ref="I43:J43"/>
    <mergeCell ref="I44:J44"/>
    <mergeCell ref="I45:J45"/>
    <mergeCell ref="B46:G46"/>
    <mergeCell ref="I46:J46"/>
    <mergeCell ref="B47:G47"/>
    <mergeCell ref="B48:C48"/>
    <mergeCell ref="B49:C49"/>
    <mergeCell ref="I50:N50"/>
    <mergeCell ref="B2:G2"/>
    <mergeCell ref="I2:N2"/>
    <mergeCell ref="B3:G3"/>
    <mergeCell ref="I3:N3"/>
    <mergeCell ref="B4:C4"/>
    <mergeCell ref="I4:J4"/>
    <mergeCell ref="I5:J5"/>
    <mergeCell ref="B5:C5"/>
    <mergeCell ref="B6:C6"/>
    <mergeCell ref="B7:C7"/>
    <mergeCell ref="B8:C8"/>
    <mergeCell ref="B9:C9"/>
    <mergeCell ref="B10:C10"/>
    <mergeCell ref="B11:C11"/>
    <mergeCell ref="I6:J6"/>
    <mergeCell ref="I7:J7"/>
    <mergeCell ref="I8:J8"/>
    <mergeCell ref="I9:J9"/>
    <mergeCell ref="I10:J10"/>
    <mergeCell ref="I11:J11"/>
    <mergeCell ref="I12:J12"/>
    <mergeCell ref="B12:C12"/>
    <mergeCell ref="B13:C13"/>
    <mergeCell ref="B14:C14"/>
    <mergeCell ref="B15:C15"/>
    <mergeCell ref="B16:C16"/>
    <mergeCell ref="B17:C17"/>
    <mergeCell ref="B18:C18"/>
    <mergeCell ref="I13:J13"/>
    <mergeCell ref="I14:J14"/>
    <mergeCell ref="I15:J15"/>
    <mergeCell ref="I16:J16"/>
    <mergeCell ref="I17:J17"/>
    <mergeCell ref="I18:J18"/>
    <mergeCell ref="I19:J19"/>
    <mergeCell ref="B19:C19"/>
    <mergeCell ref="B20:C20"/>
    <mergeCell ref="B24:G24"/>
    <mergeCell ref="B25:G25"/>
    <mergeCell ref="B26:C26"/>
    <mergeCell ref="B27:C27"/>
    <mergeCell ref="B28:C28"/>
    <mergeCell ref="B50:C50"/>
    <mergeCell ref="B51:C51"/>
    <mergeCell ref="I51:N51"/>
    <mergeCell ref="I52:J52"/>
    <mergeCell ref="I53:J5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10.71"/>
    <col customWidth="1" min="3" max="3" width="28.43"/>
    <col customWidth="1" min="4" max="4" width="19.29"/>
    <col customWidth="1" min="5" max="5" width="15.29"/>
    <col customWidth="1" min="6" max="6" width="13.29"/>
    <col customWidth="1" min="7" max="7" width="21.57"/>
    <col customWidth="1" min="8" max="8" width="7.71"/>
    <col customWidth="1" min="9" max="9" width="10.71"/>
    <col customWidth="1" min="10" max="10" width="33.29"/>
    <col customWidth="1" min="11" max="11" width="15.14"/>
    <col customWidth="1" min="12" max="12" width="15.43"/>
    <col customWidth="1" min="13" max="13" width="13.71"/>
    <col customWidth="1" min="14" max="14" width="27.71"/>
    <col customWidth="1" min="15" max="15" width="9.29"/>
    <col customWidth="1" min="16" max="16" width="52.43"/>
    <col customWidth="1" min="17" max="17" width="0.43"/>
    <col customWidth="1" min="18" max="18" width="16.71"/>
    <col customWidth="1" min="19" max="19" width="22.29"/>
    <col customWidth="1" min="20" max="20" width="10.71"/>
    <col customWidth="1" min="21" max="21" width="26.71"/>
    <col customWidth="1" min="22" max="22" width="10.71"/>
    <col customWidth="1" min="23" max="23" width="24.29"/>
    <col customWidth="1" min="24" max="24" width="22.57"/>
    <col customWidth="1" min="25" max="27" width="10.71"/>
  </cols>
  <sheetData>
    <row r="1">
      <c r="A1" s="26"/>
      <c r="E1" s="8"/>
      <c r="F1" s="27" t="s">
        <v>56</v>
      </c>
      <c r="K1" s="8"/>
      <c r="L1" s="8"/>
      <c r="M1" s="8"/>
      <c r="N1" s="8"/>
      <c r="Q1" s="27" t="s">
        <v>57</v>
      </c>
      <c r="T1" s="24"/>
    </row>
    <row r="2">
      <c r="A2" s="26"/>
      <c r="B2" s="8"/>
      <c r="C2" s="8"/>
      <c r="D2" s="8"/>
      <c r="E2" s="8"/>
      <c r="F2" s="8"/>
      <c r="G2" s="8"/>
      <c r="I2" s="8"/>
      <c r="J2" s="8"/>
      <c r="K2" s="8"/>
      <c r="L2" s="8"/>
      <c r="M2" s="8"/>
      <c r="N2" s="8"/>
    </row>
    <row r="3">
      <c r="A3" s="26"/>
      <c r="B3" s="28" t="s">
        <v>58</v>
      </c>
      <c r="C3" s="16"/>
      <c r="D3" s="16"/>
      <c r="E3" s="16"/>
      <c r="F3" s="16"/>
      <c r="G3" s="17"/>
      <c r="I3" s="28" t="s">
        <v>58</v>
      </c>
      <c r="J3" s="16"/>
      <c r="K3" s="16"/>
      <c r="L3" s="16"/>
      <c r="M3" s="16"/>
      <c r="N3" s="17"/>
    </row>
    <row r="4">
      <c r="A4" s="26"/>
      <c r="B4" s="28" t="s">
        <v>14</v>
      </c>
      <c r="C4" s="16"/>
      <c r="D4" s="16"/>
      <c r="E4" s="16"/>
      <c r="F4" s="16"/>
      <c r="G4" s="17"/>
      <c r="I4" s="28" t="s">
        <v>14</v>
      </c>
      <c r="J4" s="16"/>
      <c r="K4" s="16"/>
      <c r="L4" s="16"/>
      <c r="M4" s="16"/>
      <c r="N4" s="17"/>
      <c r="P4" s="18" t="s">
        <v>58</v>
      </c>
      <c r="Q4" s="16"/>
      <c r="R4" s="16"/>
      <c r="S4" s="16"/>
      <c r="T4" s="16"/>
      <c r="U4" s="17"/>
      <c r="W4" s="29" t="s">
        <v>59</v>
      </c>
      <c r="X4" s="17"/>
    </row>
    <row r="5">
      <c r="A5" s="26"/>
      <c r="B5" s="28" t="s">
        <v>60</v>
      </c>
      <c r="C5" s="17"/>
      <c r="D5" s="30" t="s">
        <v>16</v>
      </c>
      <c r="E5" s="30" t="s">
        <v>17</v>
      </c>
      <c r="F5" s="30" t="s">
        <v>18</v>
      </c>
      <c r="G5" s="30" t="s">
        <v>19</v>
      </c>
      <c r="I5" s="28" t="s">
        <v>60</v>
      </c>
      <c r="J5" s="17"/>
      <c r="K5" s="30" t="s">
        <v>16</v>
      </c>
      <c r="L5" s="30" t="s">
        <v>17</v>
      </c>
      <c r="M5" s="30" t="s">
        <v>18</v>
      </c>
      <c r="N5" s="30" t="s">
        <v>19</v>
      </c>
      <c r="P5" s="18" t="s">
        <v>14</v>
      </c>
      <c r="Q5" s="16"/>
      <c r="R5" s="16"/>
      <c r="S5" s="16"/>
      <c r="T5" s="16"/>
      <c r="U5" s="17"/>
      <c r="W5" s="31" t="s">
        <v>61</v>
      </c>
      <c r="X5" s="31" t="s">
        <v>62</v>
      </c>
    </row>
    <row r="6">
      <c r="A6" s="10"/>
      <c r="B6" s="32" t="s">
        <v>63</v>
      </c>
      <c r="C6" s="17"/>
      <c r="D6" s="33" t="s">
        <v>64</v>
      </c>
      <c r="E6" s="34"/>
      <c r="F6" s="34"/>
      <c r="G6" s="35"/>
      <c r="I6" s="36" t="s">
        <v>65</v>
      </c>
      <c r="J6" s="17"/>
      <c r="K6" s="28" t="s">
        <v>66</v>
      </c>
      <c r="L6" s="16"/>
      <c r="M6" s="16"/>
      <c r="N6" s="17"/>
      <c r="P6" s="37" t="s">
        <v>60</v>
      </c>
      <c r="Q6" s="17"/>
      <c r="R6" s="38" t="s">
        <v>16</v>
      </c>
      <c r="S6" s="38" t="s">
        <v>17</v>
      </c>
      <c r="T6" s="38" t="s">
        <v>18</v>
      </c>
      <c r="U6" s="38" t="s">
        <v>19</v>
      </c>
      <c r="W6" s="31" t="s">
        <v>67</v>
      </c>
      <c r="X6" s="31" t="s">
        <v>8</v>
      </c>
    </row>
    <row r="7">
      <c r="A7" s="10"/>
      <c r="B7" s="39" t="s">
        <v>68</v>
      </c>
      <c r="C7" s="17"/>
      <c r="D7" s="40" t="s">
        <v>69</v>
      </c>
      <c r="E7" s="40" t="s">
        <v>70</v>
      </c>
      <c r="F7" s="40">
        <v>1.0</v>
      </c>
      <c r="G7" s="40"/>
      <c r="I7" s="41" t="s">
        <v>68</v>
      </c>
      <c r="J7" s="17"/>
      <c r="K7" s="42">
        <v>0.0</v>
      </c>
      <c r="L7" s="42">
        <v>0.0</v>
      </c>
      <c r="M7" s="42">
        <v>0.0</v>
      </c>
      <c r="N7" s="42" t="s">
        <v>71</v>
      </c>
      <c r="P7" s="32" t="s">
        <v>72</v>
      </c>
      <c r="Q7" s="17"/>
      <c r="R7" s="18"/>
      <c r="S7" s="16"/>
      <c r="T7" s="16"/>
      <c r="U7" s="17"/>
      <c r="W7" s="31" t="s">
        <v>73</v>
      </c>
      <c r="X7" s="31" t="s">
        <v>8</v>
      </c>
    </row>
    <row r="8">
      <c r="A8" s="10"/>
      <c r="B8" s="39" t="s">
        <v>74</v>
      </c>
      <c r="C8" s="17"/>
      <c r="D8" s="40" t="s">
        <v>75</v>
      </c>
      <c r="E8" s="40" t="s">
        <v>76</v>
      </c>
      <c r="F8" s="40">
        <v>1.0</v>
      </c>
      <c r="G8" s="40"/>
      <c r="I8" s="41" t="s">
        <v>74</v>
      </c>
      <c r="J8" s="17"/>
      <c r="K8" s="42" t="s">
        <v>75</v>
      </c>
      <c r="L8" s="42" t="s">
        <v>76</v>
      </c>
      <c r="M8" s="42">
        <v>1.0</v>
      </c>
      <c r="N8" s="42"/>
      <c r="P8" s="39" t="s">
        <v>77</v>
      </c>
      <c r="Q8" s="17"/>
      <c r="R8" s="40" t="s">
        <v>78</v>
      </c>
      <c r="S8" s="40" t="s">
        <v>78</v>
      </c>
      <c r="T8" s="40">
        <v>1.0</v>
      </c>
      <c r="U8" s="40"/>
      <c r="W8" s="43" t="s">
        <v>79</v>
      </c>
      <c r="X8" s="43" t="s">
        <v>8</v>
      </c>
    </row>
    <row r="9">
      <c r="A9" s="10"/>
      <c r="B9" s="39" t="s">
        <v>80</v>
      </c>
      <c r="C9" s="17"/>
      <c r="D9" s="40" t="s">
        <v>81</v>
      </c>
      <c r="E9" s="40" t="s">
        <v>82</v>
      </c>
      <c r="F9" s="40">
        <v>1.0</v>
      </c>
      <c r="G9" s="44"/>
      <c r="I9" s="41" t="s">
        <v>80</v>
      </c>
      <c r="J9" s="17"/>
      <c r="K9" s="42" t="s">
        <v>81</v>
      </c>
      <c r="L9" s="42" t="s">
        <v>82</v>
      </c>
      <c r="M9" s="42">
        <v>1.0</v>
      </c>
      <c r="N9" s="42"/>
      <c r="P9" s="39" t="s">
        <v>83</v>
      </c>
      <c r="Q9" s="17"/>
      <c r="R9" s="40" t="s">
        <v>84</v>
      </c>
      <c r="S9" s="40" t="s">
        <v>78</v>
      </c>
      <c r="T9" s="40">
        <v>1.0</v>
      </c>
      <c r="U9" s="40"/>
      <c r="W9" s="43" t="s">
        <v>85</v>
      </c>
      <c r="X9" s="43"/>
    </row>
    <row r="10">
      <c r="A10" s="10"/>
      <c r="B10" s="39" t="s">
        <v>86</v>
      </c>
      <c r="C10" s="17"/>
      <c r="D10" s="40" t="s">
        <v>87</v>
      </c>
      <c r="E10" s="40" t="s">
        <v>88</v>
      </c>
      <c r="F10" s="40">
        <v>1.0</v>
      </c>
      <c r="G10" s="40"/>
      <c r="I10" s="41" t="s">
        <v>86</v>
      </c>
      <c r="J10" s="17"/>
      <c r="K10" s="42" t="s">
        <v>75</v>
      </c>
      <c r="L10" s="42" t="s">
        <v>89</v>
      </c>
      <c r="M10" s="42">
        <v>1.0</v>
      </c>
      <c r="N10" s="42"/>
      <c r="P10" s="39" t="s">
        <v>90</v>
      </c>
      <c r="Q10" s="17"/>
      <c r="R10" s="40" t="s">
        <v>78</v>
      </c>
      <c r="S10" s="40" t="s">
        <v>78</v>
      </c>
      <c r="T10" s="40">
        <v>2.0</v>
      </c>
      <c r="U10" s="40"/>
    </row>
    <row r="11">
      <c r="A11" s="10"/>
      <c r="B11" s="39" t="s">
        <v>91</v>
      </c>
      <c r="C11" s="17"/>
      <c r="D11" s="40" t="s">
        <v>92</v>
      </c>
      <c r="E11" s="40" t="s">
        <v>93</v>
      </c>
      <c r="F11" s="40">
        <v>1.0</v>
      </c>
      <c r="G11" s="40"/>
      <c r="I11" s="41" t="s">
        <v>91</v>
      </c>
      <c r="J11" s="17"/>
      <c r="K11" s="42" t="s">
        <v>92</v>
      </c>
      <c r="L11" s="42" t="s">
        <v>93</v>
      </c>
      <c r="M11" s="42">
        <v>1.0</v>
      </c>
      <c r="N11" s="42"/>
      <c r="P11" s="39" t="s">
        <v>94</v>
      </c>
      <c r="Q11" s="17"/>
      <c r="R11" s="40" t="s">
        <v>95</v>
      </c>
      <c r="S11" s="45">
        <v>8.065751795E9</v>
      </c>
      <c r="T11" s="40">
        <v>2.0</v>
      </c>
      <c r="U11" s="40"/>
    </row>
    <row r="12">
      <c r="A12" s="10"/>
      <c r="B12" s="39" t="s">
        <v>96</v>
      </c>
      <c r="C12" s="17"/>
      <c r="D12" s="40" t="s">
        <v>75</v>
      </c>
      <c r="E12" s="40" t="s">
        <v>97</v>
      </c>
      <c r="F12" s="40">
        <v>1.0</v>
      </c>
      <c r="G12" s="40"/>
      <c r="I12" s="41" t="s">
        <v>96</v>
      </c>
      <c r="J12" s="17"/>
      <c r="K12" s="42" t="s">
        <v>75</v>
      </c>
      <c r="L12" s="42" t="s">
        <v>97</v>
      </c>
      <c r="M12" s="42">
        <v>1.0</v>
      </c>
      <c r="N12" s="42"/>
      <c r="P12" s="25" t="s">
        <v>98</v>
      </c>
      <c r="Q12" s="17"/>
      <c r="R12" s="4" t="s">
        <v>99</v>
      </c>
      <c r="S12" s="4" t="s">
        <v>100</v>
      </c>
      <c r="T12" s="4">
        <v>1.0</v>
      </c>
      <c r="U12" s="4"/>
    </row>
    <row r="13">
      <c r="A13" s="10"/>
      <c r="B13" s="39" t="s">
        <v>101</v>
      </c>
      <c r="C13" s="17"/>
      <c r="D13" s="40" t="s">
        <v>75</v>
      </c>
      <c r="E13" s="40" t="s">
        <v>102</v>
      </c>
      <c r="F13" s="40">
        <v>1.0</v>
      </c>
      <c r="G13" s="40"/>
      <c r="I13" s="41" t="s">
        <v>101</v>
      </c>
      <c r="J13" s="17"/>
      <c r="K13" s="42" t="s">
        <v>75</v>
      </c>
      <c r="L13" s="42" t="s">
        <v>102</v>
      </c>
      <c r="M13" s="42">
        <v>1.0</v>
      </c>
      <c r="N13" s="42"/>
      <c r="P13" s="25" t="s">
        <v>103</v>
      </c>
      <c r="Q13" s="17"/>
      <c r="R13" s="4" t="s">
        <v>78</v>
      </c>
      <c r="S13" s="46" t="s">
        <v>78</v>
      </c>
      <c r="T13" s="4">
        <v>1.0</v>
      </c>
      <c r="U13" s="4"/>
    </row>
    <row r="14">
      <c r="A14" s="10"/>
      <c r="B14" s="39" t="s">
        <v>104</v>
      </c>
      <c r="C14" s="17"/>
      <c r="D14" s="40" t="s">
        <v>75</v>
      </c>
      <c r="E14" s="40" t="s">
        <v>105</v>
      </c>
      <c r="F14" s="40">
        <v>1.0</v>
      </c>
      <c r="G14" s="40"/>
      <c r="I14" s="41" t="s">
        <v>104</v>
      </c>
      <c r="J14" s="17"/>
      <c r="K14" s="42" t="s">
        <v>75</v>
      </c>
      <c r="L14" s="42" t="s">
        <v>105</v>
      </c>
      <c r="M14" s="42">
        <v>1.0</v>
      </c>
      <c r="N14" s="42"/>
      <c r="P14" s="25" t="s">
        <v>98</v>
      </c>
      <c r="Q14" s="17"/>
      <c r="R14" s="4" t="s">
        <v>87</v>
      </c>
      <c r="S14" s="47" t="s">
        <v>106</v>
      </c>
      <c r="T14" s="4">
        <v>1.0</v>
      </c>
      <c r="U14" s="4"/>
    </row>
    <row r="15">
      <c r="A15" s="10"/>
      <c r="B15" s="39" t="s">
        <v>107</v>
      </c>
      <c r="C15" s="17"/>
      <c r="D15" s="40" t="s">
        <v>75</v>
      </c>
      <c r="E15" s="40" t="s">
        <v>108</v>
      </c>
      <c r="F15" s="40">
        <v>1.0</v>
      </c>
      <c r="G15" s="40"/>
      <c r="I15" s="41" t="s">
        <v>107</v>
      </c>
      <c r="J15" s="17"/>
      <c r="K15" s="42" t="s">
        <v>75</v>
      </c>
      <c r="L15" s="42" t="s">
        <v>108</v>
      </c>
      <c r="M15" s="42">
        <v>1.0</v>
      </c>
      <c r="N15" s="42"/>
      <c r="P15" s="20"/>
      <c r="Q15" s="48"/>
      <c r="R15" s="48"/>
      <c r="S15" s="48"/>
      <c r="T15" s="48"/>
      <c r="U15" s="49"/>
    </row>
    <row r="16">
      <c r="A16" s="10"/>
      <c r="B16" s="39" t="s">
        <v>109</v>
      </c>
      <c r="C16" s="17"/>
      <c r="D16" s="40"/>
      <c r="E16" s="40"/>
      <c r="F16" s="40">
        <v>1.0</v>
      </c>
      <c r="G16" s="40"/>
      <c r="I16" s="41" t="s">
        <v>109</v>
      </c>
      <c r="J16" s="17"/>
      <c r="K16" s="42" t="s">
        <v>75</v>
      </c>
      <c r="L16" s="42" t="s">
        <v>110</v>
      </c>
      <c r="M16" s="42">
        <v>1.0</v>
      </c>
      <c r="N16" s="42"/>
    </row>
    <row r="17">
      <c r="A17" s="10"/>
      <c r="B17" s="39" t="s">
        <v>111</v>
      </c>
      <c r="C17" s="17"/>
      <c r="D17" s="40" t="s">
        <v>78</v>
      </c>
      <c r="E17" s="40" t="s">
        <v>78</v>
      </c>
      <c r="F17" s="40">
        <v>1.0</v>
      </c>
      <c r="G17" s="40"/>
      <c r="I17" s="41" t="s">
        <v>111</v>
      </c>
      <c r="J17" s="17"/>
      <c r="K17" s="42" t="s">
        <v>75</v>
      </c>
      <c r="L17" s="42" t="s">
        <v>78</v>
      </c>
      <c r="M17" s="42">
        <v>1.0</v>
      </c>
      <c r="N17" s="42"/>
    </row>
    <row r="18">
      <c r="A18" s="10"/>
      <c r="B18" s="39"/>
      <c r="C18" s="17"/>
      <c r="D18" s="40"/>
      <c r="E18" s="40"/>
      <c r="F18" s="40"/>
      <c r="G18" s="40"/>
      <c r="I18" s="39"/>
      <c r="J18" s="17"/>
      <c r="K18" s="40"/>
      <c r="L18" s="40"/>
      <c r="M18" s="40"/>
      <c r="N18" s="40"/>
      <c r="P18" s="18" t="s">
        <v>58</v>
      </c>
      <c r="Q18" s="16"/>
      <c r="R18" s="16"/>
      <c r="S18" s="16"/>
      <c r="T18" s="16"/>
      <c r="U18" s="17"/>
    </row>
    <row r="19">
      <c r="A19" s="10"/>
      <c r="B19" s="32" t="s">
        <v>38</v>
      </c>
      <c r="C19" s="17"/>
      <c r="D19" s="40"/>
      <c r="E19" s="40"/>
      <c r="F19" s="40">
        <v>11.0</v>
      </c>
      <c r="G19" s="40"/>
      <c r="I19" s="32" t="s">
        <v>38</v>
      </c>
      <c r="J19" s="17"/>
      <c r="K19" s="40"/>
      <c r="L19" s="40"/>
      <c r="M19" s="40">
        <f>SUM(M7:M18)</f>
        <v>10</v>
      </c>
      <c r="N19" s="40"/>
      <c r="P19" s="18" t="s">
        <v>14</v>
      </c>
      <c r="Q19" s="16"/>
      <c r="R19" s="16"/>
      <c r="S19" s="16"/>
      <c r="T19" s="16"/>
      <c r="U19" s="17"/>
    </row>
    <row r="20" ht="15.75" customHeight="1">
      <c r="P20" s="37" t="s">
        <v>60</v>
      </c>
      <c r="Q20" s="17"/>
      <c r="R20" s="38" t="s">
        <v>16</v>
      </c>
      <c r="S20" s="38" t="s">
        <v>17</v>
      </c>
      <c r="T20" s="38" t="s">
        <v>18</v>
      </c>
      <c r="U20" s="38" t="s">
        <v>19</v>
      </c>
    </row>
    <row r="21" ht="15.75" customHeight="1">
      <c r="B21" s="28" t="s">
        <v>58</v>
      </c>
      <c r="C21" s="16"/>
      <c r="D21" s="16"/>
      <c r="E21" s="16"/>
      <c r="F21" s="16"/>
      <c r="G21" s="17"/>
      <c r="I21" s="28" t="s">
        <v>58</v>
      </c>
      <c r="J21" s="16"/>
      <c r="K21" s="16"/>
      <c r="L21" s="16"/>
      <c r="M21" s="16"/>
      <c r="N21" s="17"/>
      <c r="P21" s="32" t="s">
        <v>112</v>
      </c>
      <c r="Q21" s="17"/>
      <c r="R21" s="18"/>
      <c r="S21" s="16"/>
      <c r="T21" s="16"/>
      <c r="U21" s="17"/>
    </row>
    <row r="22" ht="15.75" customHeight="1">
      <c r="B22" s="28" t="s">
        <v>14</v>
      </c>
      <c r="C22" s="16"/>
      <c r="D22" s="16"/>
      <c r="E22" s="16"/>
      <c r="F22" s="16"/>
      <c r="G22" s="17"/>
      <c r="I22" s="28" t="s">
        <v>14</v>
      </c>
      <c r="J22" s="16"/>
      <c r="K22" s="16"/>
      <c r="L22" s="16"/>
      <c r="M22" s="16"/>
      <c r="N22" s="17"/>
      <c r="P22" s="39" t="s">
        <v>77</v>
      </c>
      <c r="Q22" s="17"/>
      <c r="R22" s="40" t="s">
        <v>78</v>
      </c>
      <c r="S22" s="40" t="s">
        <v>78</v>
      </c>
      <c r="T22" s="40">
        <v>2.0</v>
      </c>
      <c r="U22" s="40"/>
    </row>
    <row r="23" ht="15.75" customHeight="1">
      <c r="B23" s="28" t="s">
        <v>60</v>
      </c>
      <c r="C23" s="17"/>
      <c r="D23" s="30" t="s">
        <v>16</v>
      </c>
      <c r="E23" s="30" t="s">
        <v>17</v>
      </c>
      <c r="F23" s="30" t="s">
        <v>18</v>
      </c>
      <c r="G23" s="30" t="s">
        <v>19</v>
      </c>
      <c r="I23" s="28" t="s">
        <v>60</v>
      </c>
      <c r="J23" s="17"/>
      <c r="K23" s="30" t="s">
        <v>16</v>
      </c>
      <c r="L23" s="30" t="s">
        <v>17</v>
      </c>
      <c r="M23" s="30" t="s">
        <v>18</v>
      </c>
      <c r="N23" s="30" t="s">
        <v>19</v>
      </c>
      <c r="P23" s="39" t="s">
        <v>83</v>
      </c>
      <c r="Q23" s="17"/>
      <c r="R23" s="40" t="s">
        <v>75</v>
      </c>
      <c r="S23" s="40" t="s">
        <v>113</v>
      </c>
      <c r="T23" s="40">
        <v>1.0</v>
      </c>
      <c r="U23" s="40"/>
    </row>
    <row r="24" ht="15.75" customHeight="1">
      <c r="B24" s="50" t="s">
        <v>114</v>
      </c>
      <c r="C24" s="17"/>
      <c r="D24" s="32" t="s">
        <v>115</v>
      </c>
      <c r="E24" s="16"/>
      <c r="F24" s="16"/>
      <c r="G24" s="17"/>
      <c r="I24" s="36" t="s">
        <v>116</v>
      </c>
      <c r="J24" s="17"/>
      <c r="K24" s="28" t="s">
        <v>117</v>
      </c>
      <c r="L24" s="16"/>
      <c r="M24" s="16"/>
      <c r="N24" s="17"/>
      <c r="P24" s="39" t="s">
        <v>90</v>
      </c>
      <c r="Q24" s="17"/>
      <c r="R24" s="40" t="s">
        <v>78</v>
      </c>
      <c r="S24" s="40" t="s">
        <v>78</v>
      </c>
      <c r="T24" s="40">
        <v>2.0</v>
      </c>
      <c r="U24" s="40"/>
    </row>
    <row r="25" ht="15.75" customHeight="1">
      <c r="B25" s="51" t="s">
        <v>68</v>
      </c>
      <c r="C25" s="17"/>
      <c r="D25" s="52" t="s">
        <v>118</v>
      </c>
      <c r="E25" s="52" t="s">
        <v>119</v>
      </c>
      <c r="F25" s="52">
        <v>1.0</v>
      </c>
      <c r="G25" s="42"/>
      <c r="I25" s="41" t="s">
        <v>68</v>
      </c>
      <c r="J25" s="17"/>
      <c r="K25" s="42" t="s">
        <v>120</v>
      </c>
      <c r="L25" s="42" t="s">
        <v>121</v>
      </c>
      <c r="M25" s="42">
        <v>1.0</v>
      </c>
      <c r="N25" s="42"/>
      <c r="P25" s="39" t="s">
        <v>94</v>
      </c>
      <c r="Q25" s="17"/>
      <c r="R25" s="40" t="s">
        <v>95</v>
      </c>
      <c r="S25" s="45">
        <v>8.065751795E9</v>
      </c>
      <c r="T25" s="40">
        <v>1.0</v>
      </c>
      <c r="U25" s="40"/>
    </row>
    <row r="26" ht="15.75" customHeight="1">
      <c r="B26" s="53" t="s">
        <v>74</v>
      </c>
      <c r="C26" s="17"/>
      <c r="D26" s="52" t="s">
        <v>75</v>
      </c>
      <c r="E26" s="52" t="s">
        <v>76</v>
      </c>
      <c r="F26" s="52">
        <v>1.0</v>
      </c>
      <c r="G26" s="40"/>
      <c r="I26" s="41" t="s">
        <v>74</v>
      </c>
      <c r="J26" s="17"/>
      <c r="K26" s="42" t="s">
        <v>75</v>
      </c>
      <c r="L26" s="42" t="s">
        <v>76</v>
      </c>
      <c r="M26" s="42">
        <v>1.0</v>
      </c>
      <c r="N26" s="42"/>
      <c r="P26" s="25" t="s">
        <v>98</v>
      </c>
      <c r="Q26" s="17"/>
      <c r="R26" s="4" t="s">
        <v>87</v>
      </c>
      <c r="S26" s="47" t="s">
        <v>106</v>
      </c>
      <c r="T26" s="4">
        <v>2.0</v>
      </c>
      <c r="U26" s="4"/>
    </row>
    <row r="27" ht="15.75" customHeight="1">
      <c r="B27" s="53" t="s">
        <v>80</v>
      </c>
      <c r="C27" s="17"/>
      <c r="D27" s="52" t="s">
        <v>81</v>
      </c>
      <c r="E27" s="52" t="s">
        <v>82</v>
      </c>
      <c r="F27" s="52">
        <v>1.0</v>
      </c>
      <c r="G27" s="40"/>
      <c r="I27" s="41" t="s">
        <v>80</v>
      </c>
      <c r="J27" s="17"/>
      <c r="K27" s="42" t="s">
        <v>81</v>
      </c>
      <c r="L27" s="42" t="s">
        <v>82</v>
      </c>
      <c r="M27" s="42">
        <v>1.0</v>
      </c>
      <c r="N27" s="42"/>
      <c r="P27" s="25" t="s">
        <v>103</v>
      </c>
      <c r="Q27" s="17"/>
      <c r="R27" s="4" t="s">
        <v>78</v>
      </c>
      <c r="S27" s="46" t="s">
        <v>78</v>
      </c>
      <c r="T27" s="4">
        <v>2.0</v>
      </c>
      <c r="U27" s="4"/>
    </row>
    <row r="28" ht="15.75" customHeight="1">
      <c r="B28" s="53" t="s">
        <v>86</v>
      </c>
      <c r="C28" s="17"/>
      <c r="D28" s="52" t="s">
        <v>87</v>
      </c>
      <c r="E28" s="52" t="s">
        <v>88</v>
      </c>
      <c r="F28" s="52">
        <v>1.0</v>
      </c>
      <c r="G28" s="40"/>
      <c r="I28" s="41" t="s">
        <v>86</v>
      </c>
      <c r="J28" s="17"/>
      <c r="K28" s="42" t="s">
        <v>87</v>
      </c>
      <c r="L28" s="42" t="s">
        <v>88</v>
      </c>
      <c r="M28" s="42">
        <v>1.0</v>
      </c>
      <c r="N28" s="42"/>
      <c r="P28" s="25" t="s">
        <v>122</v>
      </c>
      <c r="Q28" s="17"/>
      <c r="R28" s="4" t="s">
        <v>78</v>
      </c>
      <c r="S28" s="46" t="s">
        <v>78</v>
      </c>
      <c r="T28" s="4">
        <v>1.0</v>
      </c>
      <c r="U28" s="4"/>
    </row>
    <row r="29" ht="15.75" customHeight="1">
      <c r="B29" s="53" t="s">
        <v>91</v>
      </c>
      <c r="C29" s="17"/>
      <c r="D29" s="52"/>
      <c r="E29" s="52"/>
      <c r="F29" s="54"/>
      <c r="G29" s="40" t="s">
        <v>123</v>
      </c>
      <c r="I29" s="41" t="s">
        <v>91</v>
      </c>
      <c r="J29" s="17"/>
      <c r="K29" s="42" t="s">
        <v>92</v>
      </c>
      <c r="L29" s="42" t="s">
        <v>93</v>
      </c>
      <c r="M29" s="42">
        <v>1.0</v>
      </c>
      <c r="N29" s="42"/>
      <c r="P29" s="25" t="s">
        <v>124</v>
      </c>
      <c r="Q29" s="17"/>
      <c r="R29" s="4" t="s">
        <v>125</v>
      </c>
      <c r="S29" s="46" t="s">
        <v>78</v>
      </c>
      <c r="T29" s="4">
        <v>1.0</v>
      </c>
      <c r="U29" s="4"/>
    </row>
    <row r="30" ht="15.75" customHeight="1">
      <c r="B30" s="53" t="s">
        <v>96</v>
      </c>
      <c r="C30" s="17"/>
      <c r="D30" s="52" t="s">
        <v>75</v>
      </c>
      <c r="E30" s="52" t="s">
        <v>97</v>
      </c>
      <c r="F30" s="52">
        <v>1.0</v>
      </c>
      <c r="G30" s="40"/>
      <c r="I30" s="41" t="s">
        <v>96</v>
      </c>
      <c r="J30" s="17"/>
      <c r="K30" s="42" t="s">
        <v>75</v>
      </c>
      <c r="L30" s="42" t="s">
        <v>97</v>
      </c>
      <c r="M30" s="42">
        <v>1.0</v>
      </c>
      <c r="N30" s="42"/>
      <c r="P30" s="25" t="s">
        <v>126</v>
      </c>
      <c r="Q30" s="17"/>
      <c r="R30" s="4" t="s">
        <v>78</v>
      </c>
      <c r="S30" s="46" t="s">
        <v>78</v>
      </c>
      <c r="T30" s="4">
        <v>1.0</v>
      </c>
      <c r="U30" s="4"/>
    </row>
    <row r="31" ht="15.75" customHeight="1">
      <c r="B31" s="53" t="s">
        <v>101</v>
      </c>
      <c r="C31" s="17"/>
      <c r="D31" s="40" t="s">
        <v>75</v>
      </c>
      <c r="E31" s="40" t="s">
        <v>102</v>
      </c>
      <c r="F31" s="40">
        <v>1.0</v>
      </c>
      <c r="G31" s="40"/>
      <c r="I31" s="41" t="s">
        <v>101</v>
      </c>
      <c r="J31" s="17"/>
      <c r="K31" s="42" t="s">
        <v>75</v>
      </c>
      <c r="L31" s="42" t="s">
        <v>102</v>
      </c>
      <c r="M31" s="42">
        <v>1.0</v>
      </c>
      <c r="N31" s="42"/>
      <c r="P31" s="25" t="s">
        <v>127</v>
      </c>
      <c r="Q31" s="17"/>
      <c r="R31" s="4" t="s">
        <v>87</v>
      </c>
      <c r="S31" s="46" t="s">
        <v>128</v>
      </c>
      <c r="T31" s="4">
        <v>1.0</v>
      </c>
      <c r="U31" s="4"/>
    </row>
    <row r="32" ht="15.75" customHeight="1">
      <c r="B32" s="53" t="s">
        <v>104</v>
      </c>
      <c r="C32" s="17"/>
      <c r="D32" s="40" t="s">
        <v>75</v>
      </c>
      <c r="E32" s="40" t="s">
        <v>105</v>
      </c>
      <c r="F32" s="40">
        <v>1.0</v>
      </c>
      <c r="G32" s="55" t="s">
        <v>129</v>
      </c>
      <c r="I32" s="41" t="s">
        <v>104</v>
      </c>
      <c r="J32" s="17"/>
      <c r="K32" s="42" t="s">
        <v>75</v>
      </c>
      <c r="L32" s="42" t="s">
        <v>105</v>
      </c>
      <c r="M32" s="42">
        <v>1.0</v>
      </c>
      <c r="N32" s="42"/>
      <c r="P32" s="25" t="s">
        <v>130</v>
      </c>
      <c r="Q32" s="17"/>
      <c r="R32" s="4" t="s">
        <v>131</v>
      </c>
      <c r="S32" s="46" t="s">
        <v>132</v>
      </c>
      <c r="T32" s="4">
        <v>1.0</v>
      </c>
      <c r="U32" s="4"/>
    </row>
    <row r="33" ht="15.75" customHeight="1">
      <c r="B33" s="53" t="s">
        <v>107</v>
      </c>
      <c r="C33" s="17"/>
      <c r="D33" s="40" t="s">
        <v>75</v>
      </c>
      <c r="E33" s="40" t="s">
        <v>108</v>
      </c>
      <c r="F33" s="40">
        <v>1.0</v>
      </c>
      <c r="G33" s="55" t="s">
        <v>133</v>
      </c>
      <c r="I33" s="41" t="s">
        <v>107</v>
      </c>
      <c r="J33" s="17"/>
      <c r="K33" s="42" t="s">
        <v>75</v>
      </c>
      <c r="L33" s="42" t="s">
        <v>108</v>
      </c>
      <c r="M33" s="42">
        <v>1.0</v>
      </c>
      <c r="N33" s="42"/>
      <c r="P33" s="25" t="s">
        <v>134</v>
      </c>
      <c r="Q33" s="17"/>
      <c r="R33" s="4" t="s">
        <v>78</v>
      </c>
      <c r="S33" s="46" t="s">
        <v>78</v>
      </c>
      <c r="T33" s="4">
        <v>2.0</v>
      </c>
      <c r="U33" s="4"/>
    </row>
    <row r="34" ht="15.75" customHeight="1">
      <c r="B34" s="53" t="s">
        <v>109</v>
      </c>
      <c r="C34" s="17"/>
      <c r="D34" s="40"/>
      <c r="E34" s="40" t="s">
        <v>78</v>
      </c>
      <c r="F34" s="40">
        <v>1.0</v>
      </c>
      <c r="G34" s="40"/>
      <c r="I34" s="41" t="s">
        <v>109</v>
      </c>
      <c r="J34" s="17"/>
      <c r="K34" s="42" t="s">
        <v>75</v>
      </c>
      <c r="L34" s="42" t="s">
        <v>78</v>
      </c>
      <c r="M34" s="42">
        <v>1.0</v>
      </c>
      <c r="N34" s="42"/>
      <c r="P34" s="25" t="s">
        <v>135</v>
      </c>
      <c r="Q34" s="17"/>
      <c r="R34" s="4" t="s">
        <v>78</v>
      </c>
      <c r="S34" s="46" t="s">
        <v>78</v>
      </c>
      <c r="T34" s="4">
        <v>2.0</v>
      </c>
      <c r="U34" s="4"/>
    </row>
    <row r="35" ht="15.75" customHeight="1">
      <c r="B35" s="53" t="s">
        <v>111</v>
      </c>
      <c r="C35" s="17"/>
      <c r="D35" s="40"/>
      <c r="E35" s="40"/>
      <c r="F35" s="40">
        <v>1.0</v>
      </c>
      <c r="G35" s="42"/>
      <c r="I35" s="41" t="s">
        <v>111</v>
      </c>
      <c r="J35" s="17"/>
      <c r="K35" s="42" t="s">
        <v>78</v>
      </c>
      <c r="L35" s="42" t="s">
        <v>78</v>
      </c>
      <c r="M35" s="42">
        <v>1.0</v>
      </c>
      <c r="N35" s="42"/>
      <c r="P35" s="25" t="s">
        <v>136</v>
      </c>
      <c r="Q35" s="17"/>
      <c r="R35" s="4"/>
      <c r="S35" s="47"/>
      <c r="T35" s="4">
        <v>2.0</v>
      </c>
      <c r="U35" s="4"/>
    </row>
    <row r="36" ht="15.75" customHeight="1">
      <c r="B36" s="32" t="s">
        <v>38</v>
      </c>
      <c r="C36" s="17"/>
      <c r="D36" s="40"/>
      <c r="E36" s="40"/>
      <c r="F36" s="40">
        <f>SUM(F22:F35)</f>
        <v>10</v>
      </c>
      <c r="G36" s="40"/>
      <c r="I36" s="41"/>
      <c r="J36" s="17"/>
      <c r="K36" s="42"/>
      <c r="L36" s="42"/>
      <c r="M36" s="42"/>
      <c r="N36" s="42"/>
      <c r="P36" s="25" t="s">
        <v>137</v>
      </c>
      <c r="Q36" s="17"/>
      <c r="R36" s="4"/>
      <c r="S36" s="47"/>
      <c r="T36" s="4">
        <v>1.0</v>
      </c>
      <c r="U36" s="4"/>
    </row>
    <row r="37" ht="15.75" customHeight="1">
      <c r="I37" s="32" t="s">
        <v>38</v>
      </c>
      <c r="J37" s="17"/>
      <c r="K37" s="40"/>
      <c r="L37" s="40"/>
      <c r="M37" s="40">
        <f>SUM(M25:M36)</f>
        <v>11</v>
      </c>
      <c r="N37" s="40"/>
      <c r="P37" s="25" t="s">
        <v>138</v>
      </c>
      <c r="Q37" s="17"/>
      <c r="R37" s="4"/>
      <c r="S37" s="47"/>
      <c r="T37" s="4">
        <v>1.0</v>
      </c>
      <c r="U37" s="4"/>
    </row>
    <row r="38" ht="15.75" customHeight="1">
      <c r="P38" s="25" t="s">
        <v>38</v>
      </c>
      <c r="Q38" s="17"/>
      <c r="R38" s="4"/>
      <c r="S38" s="47"/>
      <c r="T38" s="4">
        <f>SUM(T22:T37)</f>
        <v>23</v>
      </c>
      <c r="U38" s="4"/>
    </row>
    <row r="39" ht="15.75" customHeight="1">
      <c r="E39" s="56" t="s">
        <v>139</v>
      </c>
    </row>
    <row r="40" ht="15.75" customHeight="1"/>
    <row r="41" ht="15.75" customHeight="1"/>
    <row r="42" ht="15.75" customHeight="1">
      <c r="B42" s="18" t="s">
        <v>58</v>
      </c>
      <c r="C42" s="16"/>
      <c r="D42" s="16"/>
      <c r="E42" s="16"/>
      <c r="F42" s="16"/>
      <c r="G42" s="17"/>
      <c r="I42" s="28" t="s">
        <v>58</v>
      </c>
      <c r="J42" s="16"/>
      <c r="K42" s="16"/>
      <c r="L42" s="16"/>
      <c r="M42" s="16"/>
      <c r="N42" s="17"/>
      <c r="P42" s="28" t="s">
        <v>58</v>
      </c>
      <c r="Q42" s="16"/>
      <c r="R42" s="16"/>
      <c r="S42" s="16"/>
      <c r="T42" s="16"/>
      <c r="U42" s="17"/>
    </row>
    <row r="43" ht="15.75" customHeight="1">
      <c r="B43" s="18" t="s">
        <v>14</v>
      </c>
      <c r="C43" s="16"/>
      <c r="D43" s="16"/>
      <c r="E43" s="16"/>
      <c r="F43" s="16"/>
      <c r="G43" s="17"/>
      <c r="I43" s="28" t="s">
        <v>14</v>
      </c>
      <c r="J43" s="16"/>
      <c r="K43" s="16"/>
      <c r="L43" s="16"/>
      <c r="M43" s="16"/>
      <c r="N43" s="17"/>
      <c r="P43" s="28" t="s">
        <v>14</v>
      </c>
      <c r="Q43" s="16"/>
      <c r="R43" s="16"/>
      <c r="S43" s="16"/>
      <c r="T43" s="16"/>
      <c r="U43" s="17"/>
    </row>
    <row r="44" ht="15.75" customHeight="1">
      <c r="B44" s="28" t="s">
        <v>60</v>
      </c>
      <c r="C44" s="17"/>
      <c r="D44" s="30" t="s">
        <v>16</v>
      </c>
      <c r="E44" s="30" t="s">
        <v>17</v>
      </c>
      <c r="F44" s="30" t="s">
        <v>18</v>
      </c>
      <c r="G44" s="30" t="s">
        <v>19</v>
      </c>
      <c r="I44" s="28" t="s">
        <v>60</v>
      </c>
      <c r="J44" s="17"/>
      <c r="K44" s="30" t="s">
        <v>16</v>
      </c>
      <c r="L44" s="30" t="s">
        <v>17</v>
      </c>
      <c r="M44" s="30" t="s">
        <v>18</v>
      </c>
      <c r="N44" s="30" t="s">
        <v>19</v>
      </c>
      <c r="P44" s="57" t="s">
        <v>60</v>
      </c>
      <c r="Q44" s="17"/>
      <c r="R44" s="58" t="s">
        <v>16</v>
      </c>
      <c r="S44" s="58" t="s">
        <v>17</v>
      </c>
      <c r="T44" s="58" t="s">
        <v>18</v>
      </c>
      <c r="U44" s="58" t="s">
        <v>19</v>
      </c>
    </row>
    <row r="45" ht="15.75" customHeight="1">
      <c r="B45" s="36" t="s">
        <v>140</v>
      </c>
      <c r="C45" s="17"/>
      <c r="D45" s="28" t="s">
        <v>141</v>
      </c>
      <c r="E45" s="16"/>
      <c r="F45" s="16"/>
      <c r="G45" s="17"/>
      <c r="I45" s="32" t="s">
        <v>142</v>
      </c>
      <c r="J45" s="17"/>
      <c r="K45" s="18" t="s">
        <v>143</v>
      </c>
      <c r="L45" s="16"/>
      <c r="M45" s="16"/>
      <c r="N45" s="17"/>
      <c r="P45" s="36" t="s">
        <v>144</v>
      </c>
      <c r="Q45" s="17"/>
      <c r="R45" s="28" t="s">
        <v>145</v>
      </c>
      <c r="S45" s="16"/>
      <c r="T45" s="16"/>
      <c r="U45" s="17"/>
    </row>
    <row r="46" ht="15.75" customHeight="1">
      <c r="B46" s="41" t="s">
        <v>146</v>
      </c>
      <c r="C46" s="17"/>
      <c r="D46" s="42" t="s">
        <v>87</v>
      </c>
      <c r="E46" s="59" t="s">
        <v>147</v>
      </c>
      <c r="F46" s="42">
        <v>2.0</v>
      </c>
      <c r="G46" s="42"/>
      <c r="I46" s="39" t="s">
        <v>148</v>
      </c>
      <c r="J46" s="17"/>
      <c r="K46" s="40"/>
      <c r="L46" s="40"/>
      <c r="M46" s="40"/>
      <c r="N46" s="42" t="s">
        <v>123</v>
      </c>
      <c r="P46" s="60" t="s">
        <v>149</v>
      </c>
      <c r="Q46" s="17"/>
      <c r="R46" s="61" t="s">
        <v>78</v>
      </c>
      <c r="S46" s="61" t="s">
        <v>78</v>
      </c>
      <c r="T46" s="61">
        <v>2.0</v>
      </c>
      <c r="U46" s="61"/>
    </row>
    <row r="47" ht="15.75" customHeight="1">
      <c r="B47" s="41" t="s">
        <v>150</v>
      </c>
      <c r="C47" s="17"/>
      <c r="D47" s="42" t="s">
        <v>78</v>
      </c>
      <c r="E47" s="42" t="s">
        <v>78</v>
      </c>
      <c r="F47" s="42">
        <v>1.0</v>
      </c>
      <c r="G47" s="42"/>
      <c r="I47" s="39" t="s">
        <v>151</v>
      </c>
      <c r="J47" s="17"/>
      <c r="K47" s="40" t="s">
        <v>87</v>
      </c>
      <c r="L47" s="40" t="s">
        <v>152</v>
      </c>
      <c r="M47" s="42">
        <v>2.0</v>
      </c>
      <c r="N47" s="40"/>
      <c r="P47" s="60" t="s">
        <v>153</v>
      </c>
      <c r="Q47" s="17"/>
      <c r="R47" s="61" t="s">
        <v>154</v>
      </c>
      <c r="S47" s="61">
        <v>18210.0</v>
      </c>
      <c r="T47" s="61">
        <v>1.0</v>
      </c>
      <c r="U47" s="61"/>
    </row>
    <row r="48" ht="15.75" customHeight="1">
      <c r="B48" s="41" t="s">
        <v>150</v>
      </c>
      <c r="C48" s="17"/>
      <c r="D48" s="42" t="s">
        <v>87</v>
      </c>
      <c r="E48" s="42" t="s">
        <v>78</v>
      </c>
      <c r="F48" s="42">
        <v>1.0</v>
      </c>
      <c r="G48" s="42"/>
      <c r="I48" s="40"/>
      <c r="J48" s="40"/>
      <c r="K48" s="40"/>
      <c r="L48" s="40"/>
      <c r="M48" s="40"/>
      <c r="N48" s="40"/>
      <c r="P48" s="61" t="s">
        <v>153</v>
      </c>
      <c r="Q48" s="61"/>
      <c r="R48" s="61" t="s">
        <v>78</v>
      </c>
      <c r="S48" s="61" t="s">
        <v>78</v>
      </c>
      <c r="T48" s="61">
        <v>1.0</v>
      </c>
      <c r="U48" s="61"/>
    </row>
    <row r="49" ht="15.75" customHeight="1">
      <c r="B49" s="41" t="s">
        <v>96</v>
      </c>
      <c r="C49" s="17"/>
      <c r="D49" s="42" t="s">
        <v>84</v>
      </c>
      <c r="E49" s="42" t="s">
        <v>78</v>
      </c>
      <c r="F49" s="42">
        <v>1.0</v>
      </c>
      <c r="G49" s="42"/>
      <c r="I49" s="39" t="s">
        <v>83</v>
      </c>
      <c r="J49" s="17"/>
      <c r="K49" s="40" t="s">
        <v>155</v>
      </c>
      <c r="L49" s="40" t="s">
        <v>156</v>
      </c>
      <c r="M49" s="40">
        <v>1.0</v>
      </c>
      <c r="N49" s="40"/>
      <c r="P49" s="60" t="s">
        <v>90</v>
      </c>
      <c r="Q49" s="17"/>
      <c r="R49" s="61" t="s">
        <v>78</v>
      </c>
      <c r="S49" s="61" t="s">
        <v>78</v>
      </c>
      <c r="T49" s="61">
        <v>2.0</v>
      </c>
      <c r="U49" s="61"/>
    </row>
    <row r="50" ht="15.75" customHeight="1">
      <c r="B50" s="41" t="s">
        <v>157</v>
      </c>
      <c r="C50" s="17"/>
      <c r="D50" s="42" t="s">
        <v>78</v>
      </c>
      <c r="E50" s="42" t="s">
        <v>78</v>
      </c>
      <c r="F50" s="42">
        <v>1.0</v>
      </c>
      <c r="G50" s="42"/>
      <c r="I50" s="39" t="s">
        <v>158</v>
      </c>
      <c r="J50" s="17"/>
      <c r="K50" s="40" t="s">
        <v>87</v>
      </c>
      <c r="L50" s="40" t="s">
        <v>159</v>
      </c>
      <c r="M50" s="40">
        <v>1.0</v>
      </c>
      <c r="N50" s="40"/>
      <c r="P50" s="60" t="s">
        <v>160</v>
      </c>
      <c r="Q50" s="17"/>
      <c r="R50" s="61" t="s">
        <v>95</v>
      </c>
      <c r="S50" s="62">
        <v>8.0657751795E10</v>
      </c>
      <c r="T50" s="61">
        <v>2.0</v>
      </c>
      <c r="U50" s="61"/>
    </row>
    <row r="51" ht="15.75" customHeight="1">
      <c r="B51" s="41" t="s">
        <v>161</v>
      </c>
      <c r="C51" s="17"/>
      <c r="D51" s="42" t="s">
        <v>87</v>
      </c>
      <c r="E51" s="42" t="s">
        <v>162</v>
      </c>
      <c r="F51" s="42">
        <v>1.0</v>
      </c>
      <c r="G51" s="42"/>
      <c r="I51" s="41" t="s">
        <v>163</v>
      </c>
      <c r="J51" s="17"/>
      <c r="K51" s="42"/>
      <c r="L51" s="63"/>
      <c r="M51" s="42">
        <v>2.0</v>
      </c>
      <c r="N51" s="40"/>
      <c r="P51" s="64" t="s">
        <v>98</v>
      </c>
      <c r="Q51" s="17"/>
      <c r="R51" s="65" t="s">
        <v>99</v>
      </c>
      <c r="S51" s="65" t="s">
        <v>164</v>
      </c>
      <c r="T51" s="65">
        <v>2.0</v>
      </c>
      <c r="U51" s="65" t="s">
        <v>165</v>
      </c>
    </row>
    <row r="52" ht="15.75" customHeight="1">
      <c r="B52" s="41" t="s">
        <v>161</v>
      </c>
      <c r="C52" s="17"/>
      <c r="D52" s="42" t="s">
        <v>87</v>
      </c>
      <c r="E52" s="42" t="s">
        <v>166</v>
      </c>
      <c r="F52" s="42">
        <v>1.0</v>
      </c>
      <c r="G52" s="42"/>
      <c r="I52" s="39" t="s">
        <v>158</v>
      </c>
      <c r="J52" s="17"/>
      <c r="K52" s="40" t="s">
        <v>84</v>
      </c>
      <c r="L52" s="40"/>
      <c r="M52" s="40">
        <v>1.0</v>
      </c>
      <c r="N52" s="40"/>
      <c r="P52" s="64" t="s">
        <v>167</v>
      </c>
      <c r="Q52" s="17"/>
      <c r="R52" s="65" t="s">
        <v>168</v>
      </c>
      <c r="S52" s="65" t="s">
        <v>78</v>
      </c>
      <c r="T52" s="65">
        <v>3.0</v>
      </c>
      <c r="U52" s="65" t="s">
        <v>169</v>
      </c>
    </row>
    <row r="53" ht="15.75" customHeight="1">
      <c r="B53" s="41" t="s">
        <v>170</v>
      </c>
      <c r="C53" s="17"/>
      <c r="D53" s="42" t="s">
        <v>87</v>
      </c>
      <c r="E53" s="42" t="s">
        <v>171</v>
      </c>
      <c r="F53" s="42">
        <v>1.0</v>
      </c>
      <c r="G53" s="42"/>
      <c r="I53" s="39" t="s">
        <v>101</v>
      </c>
      <c r="J53" s="17"/>
      <c r="M53" s="40">
        <v>1.0</v>
      </c>
      <c r="N53" s="40"/>
      <c r="P53" s="64" t="s">
        <v>103</v>
      </c>
      <c r="Q53" s="17"/>
      <c r="R53" s="65" t="s">
        <v>78</v>
      </c>
      <c r="S53" s="65" t="s">
        <v>78</v>
      </c>
      <c r="T53" s="65">
        <v>2.0</v>
      </c>
      <c r="U53" s="65"/>
    </row>
    <row r="54" ht="15.75" customHeight="1">
      <c r="B54" s="41" t="s">
        <v>157</v>
      </c>
      <c r="C54" s="17"/>
      <c r="D54" s="42" t="s">
        <v>87</v>
      </c>
      <c r="E54" s="42" t="s">
        <v>172</v>
      </c>
      <c r="F54" s="42">
        <v>1.0</v>
      </c>
      <c r="G54" s="42"/>
      <c r="I54" s="39" t="s">
        <v>173</v>
      </c>
      <c r="J54" s="17"/>
      <c r="K54" s="40" t="s">
        <v>87</v>
      </c>
      <c r="L54" s="66">
        <v>45600.0</v>
      </c>
      <c r="M54" s="40">
        <v>1.0</v>
      </c>
      <c r="N54" s="40"/>
      <c r="P54" s="64" t="s">
        <v>134</v>
      </c>
      <c r="Q54" s="17"/>
      <c r="R54" s="67" t="s">
        <v>78</v>
      </c>
      <c r="S54" s="67" t="s">
        <v>78</v>
      </c>
      <c r="T54" s="68">
        <v>3.0</v>
      </c>
      <c r="U54" s="67"/>
    </row>
    <row r="55" ht="15.75" customHeight="1">
      <c r="B55" s="41" t="s">
        <v>96</v>
      </c>
      <c r="C55" s="17"/>
      <c r="D55" s="42" t="s">
        <v>87</v>
      </c>
      <c r="E55" s="42" t="s">
        <v>174</v>
      </c>
      <c r="F55" s="42">
        <v>1.0</v>
      </c>
      <c r="G55" s="42"/>
      <c r="I55" s="41" t="s">
        <v>175</v>
      </c>
      <c r="J55" s="17"/>
      <c r="K55" s="42" t="s">
        <v>176</v>
      </c>
      <c r="L55" s="42" t="s">
        <v>177</v>
      </c>
      <c r="M55" s="42">
        <v>2.0</v>
      </c>
      <c r="N55" s="40"/>
      <c r="P55" s="64" t="s">
        <v>178</v>
      </c>
      <c r="Q55" s="17"/>
      <c r="R55" s="67" t="s">
        <v>78</v>
      </c>
      <c r="S55" s="67" t="s">
        <v>78</v>
      </c>
      <c r="T55" s="68">
        <v>1.0</v>
      </c>
      <c r="U55" s="67"/>
    </row>
    <row r="56" ht="15.75" customHeight="1">
      <c r="B56" s="41" t="s">
        <v>179</v>
      </c>
      <c r="C56" s="17"/>
      <c r="D56" s="42" t="s">
        <v>84</v>
      </c>
      <c r="E56" s="42" t="s">
        <v>78</v>
      </c>
      <c r="F56" s="42">
        <v>1.0</v>
      </c>
      <c r="G56" s="42"/>
      <c r="I56" s="39" t="s">
        <v>180</v>
      </c>
      <c r="J56" s="17"/>
      <c r="K56" s="40" t="s">
        <v>181</v>
      </c>
      <c r="L56" s="45" t="s">
        <v>182</v>
      </c>
      <c r="M56" s="42">
        <v>2.0</v>
      </c>
      <c r="N56" s="40"/>
      <c r="P56" s="64" t="s">
        <v>183</v>
      </c>
      <c r="Q56" s="17"/>
      <c r="R56" s="67" t="s">
        <v>78</v>
      </c>
      <c r="S56" s="67" t="s">
        <v>78</v>
      </c>
      <c r="T56" s="68">
        <v>2.0</v>
      </c>
      <c r="U56" s="67"/>
    </row>
    <row r="57" ht="15.75" customHeight="1">
      <c r="B57" s="41" t="s">
        <v>96</v>
      </c>
      <c r="C57" s="17"/>
      <c r="D57" s="42" t="s">
        <v>87</v>
      </c>
      <c r="E57" s="42" t="s">
        <v>184</v>
      </c>
      <c r="F57" s="42">
        <v>1.0</v>
      </c>
      <c r="G57" s="42"/>
      <c r="I57" s="42"/>
      <c r="J57" s="42"/>
      <c r="K57" s="42"/>
      <c r="L57" s="42"/>
      <c r="M57" s="42"/>
      <c r="N57" s="69"/>
      <c r="P57" s="65" t="s">
        <v>185</v>
      </c>
      <c r="Q57" s="65"/>
      <c r="R57" s="67" t="s">
        <v>186</v>
      </c>
      <c r="S57" s="67" t="s">
        <v>78</v>
      </c>
      <c r="T57" s="68">
        <v>1.0</v>
      </c>
      <c r="U57" s="67"/>
    </row>
    <row r="58" ht="15.75" customHeight="1">
      <c r="B58" s="42"/>
      <c r="C58" s="42"/>
      <c r="D58" s="42"/>
      <c r="E58" s="42"/>
      <c r="F58" s="42"/>
      <c r="G58" s="42"/>
      <c r="I58" s="42"/>
      <c r="J58" s="42"/>
      <c r="K58" s="42"/>
      <c r="L58" s="42"/>
      <c r="M58" s="42"/>
      <c r="N58" s="69"/>
      <c r="P58" s="65" t="s">
        <v>185</v>
      </c>
      <c r="Q58" s="65"/>
      <c r="R58" s="67" t="s">
        <v>168</v>
      </c>
      <c r="S58" s="67" t="s">
        <v>187</v>
      </c>
      <c r="T58" s="68">
        <v>1.0</v>
      </c>
      <c r="U58" s="67"/>
    </row>
    <row r="59" ht="15.75" customHeight="1">
      <c r="B59" s="41" t="s">
        <v>179</v>
      </c>
      <c r="C59" s="17"/>
      <c r="D59" s="42" t="s">
        <v>87</v>
      </c>
      <c r="E59" s="42" t="s">
        <v>188</v>
      </c>
      <c r="F59" s="42">
        <v>1.0</v>
      </c>
      <c r="G59" s="42"/>
      <c r="I59" s="41" t="s">
        <v>189</v>
      </c>
      <c r="J59" s="17"/>
      <c r="K59" s="42" t="s">
        <v>190</v>
      </c>
      <c r="L59" s="42" t="s">
        <v>191</v>
      </c>
      <c r="M59" s="42">
        <v>2.0</v>
      </c>
      <c r="N59" s="69"/>
      <c r="P59" s="64" t="s">
        <v>192</v>
      </c>
      <c r="Q59" s="17"/>
      <c r="R59" s="67" t="s">
        <v>78</v>
      </c>
      <c r="S59" s="67" t="s">
        <v>78</v>
      </c>
      <c r="T59" s="68">
        <v>4.0</v>
      </c>
      <c r="U59" s="67"/>
    </row>
    <row r="60" ht="15.75" customHeight="1">
      <c r="B60" s="41" t="s">
        <v>74</v>
      </c>
      <c r="C60" s="17"/>
      <c r="D60" s="42" t="s">
        <v>87</v>
      </c>
      <c r="E60" s="42" t="s">
        <v>193</v>
      </c>
      <c r="F60" s="42">
        <v>1.0</v>
      </c>
      <c r="G60" s="42"/>
      <c r="I60" s="41" t="s">
        <v>157</v>
      </c>
      <c r="J60" s="17"/>
      <c r="K60" s="42" t="s">
        <v>194</v>
      </c>
      <c r="L60" s="42" t="s">
        <v>195</v>
      </c>
      <c r="M60" s="42">
        <v>2.0</v>
      </c>
      <c r="N60" s="40"/>
      <c r="P60" s="70" t="s">
        <v>38</v>
      </c>
      <c r="Q60" s="17"/>
      <c r="R60" s="65"/>
      <c r="S60" s="65"/>
      <c r="T60" s="65">
        <f>SUM(T46:T59)</f>
        <v>27</v>
      </c>
      <c r="U60" s="65"/>
    </row>
    <row r="61" ht="15.75" customHeight="1">
      <c r="B61" s="41" t="s">
        <v>196</v>
      </c>
      <c r="C61" s="17"/>
      <c r="D61" s="42" t="s">
        <v>197</v>
      </c>
      <c r="E61" s="63" t="s">
        <v>198</v>
      </c>
      <c r="F61" s="42">
        <v>1.0</v>
      </c>
      <c r="G61" s="42"/>
      <c r="I61" s="39" t="s">
        <v>96</v>
      </c>
      <c r="J61" s="17"/>
      <c r="K61" s="40"/>
      <c r="L61" s="40"/>
      <c r="M61" s="40"/>
      <c r="N61" s="40" t="s">
        <v>123</v>
      </c>
    </row>
    <row r="62" ht="15.75" customHeight="1">
      <c r="B62" s="41" t="s">
        <v>199</v>
      </c>
      <c r="C62" s="17"/>
      <c r="D62" s="42" t="s">
        <v>87</v>
      </c>
      <c r="E62" s="42" t="s">
        <v>200</v>
      </c>
      <c r="F62" s="42">
        <v>1.0</v>
      </c>
      <c r="G62" s="71"/>
      <c r="I62" s="39" t="s">
        <v>201</v>
      </c>
      <c r="J62" s="17"/>
      <c r="K62" s="40" t="s">
        <v>78</v>
      </c>
      <c r="L62" s="40" t="s">
        <v>78</v>
      </c>
      <c r="M62" s="40">
        <v>1.0</v>
      </c>
      <c r="N62" s="40"/>
    </row>
    <row r="63" ht="15.75" customHeight="1">
      <c r="B63" s="41" t="s">
        <v>199</v>
      </c>
      <c r="C63" s="17"/>
      <c r="D63" s="42" t="s">
        <v>87</v>
      </c>
      <c r="E63" s="42" t="s">
        <v>202</v>
      </c>
      <c r="F63" s="42">
        <v>1.0</v>
      </c>
      <c r="G63" s="72"/>
      <c r="I63" s="39" t="s">
        <v>203</v>
      </c>
      <c r="J63" s="17"/>
      <c r="K63" s="40" t="s">
        <v>78</v>
      </c>
      <c r="L63" s="40" t="s">
        <v>78</v>
      </c>
      <c r="M63" s="40">
        <v>2.0</v>
      </c>
      <c r="N63" s="40"/>
      <c r="P63" s="18" t="s">
        <v>58</v>
      </c>
      <c r="Q63" s="16"/>
      <c r="R63" s="16"/>
      <c r="S63" s="16"/>
      <c r="T63" s="16"/>
      <c r="U63" s="17"/>
    </row>
    <row r="64" ht="15.75" customHeight="1">
      <c r="B64" s="42" t="s">
        <v>204</v>
      </c>
      <c r="C64" s="42"/>
      <c r="D64" s="42" t="s">
        <v>205</v>
      </c>
      <c r="E64" s="63">
        <v>3210.0</v>
      </c>
      <c r="F64" s="42">
        <v>1.0</v>
      </c>
      <c r="G64" s="42"/>
      <c r="I64" s="25" t="s">
        <v>74</v>
      </c>
      <c r="J64" s="17"/>
      <c r="K64" s="40" t="s">
        <v>84</v>
      </c>
      <c r="L64" s="40" t="s">
        <v>78</v>
      </c>
      <c r="M64" s="40">
        <v>1.0</v>
      </c>
      <c r="N64" s="40"/>
      <c r="P64" s="28" t="s">
        <v>14</v>
      </c>
      <c r="Q64" s="16"/>
      <c r="R64" s="16"/>
      <c r="S64" s="16"/>
      <c r="T64" s="16"/>
      <c r="U64" s="17"/>
    </row>
    <row r="65" ht="15.75" customHeight="1">
      <c r="B65" s="41" t="s">
        <v>206</v>
      </c>
      <c r="C65" s="17"/>
      <c r="D65" s="42" t="s">
        <v>87</v>
      </c>
      <c r="E65" s="42" t="s">
        <v>207</v>
      </c>
      <c r="F65" s="42">
        <v>1.0</v>
      </c>
      <c r="G65" s="42"/>
      <c r="I65" s="39" t="s">
        <v>199</v>
      </c>
      <c r="J65" s="17"/>
      <c r="K65" s="40" t="s">
        <v>87</v>
      </c>
      <c r="L65" s="40" t="s">
        <v>208</v>
      </c>
      <c r="M65" s="40">
        <v>2.0</v>
      </c>
      <c r="N65" s="40"/>
      <c r="P65" s="57" t="s">
        <v>60</v>
      </c>
      <c r="Q65" s="17"/>
      <c r="R65" s="58" t="s">
        <v>16</v>
      </c>
      <c r="S65" s="58" t="s">
        <v>17</v>
      </c>
      <c r="T65" s="58" t="s">
        <v>18</v>
      </c>
      <c r="U65" s="58" t="s">
        <v>19</v>
      </c>
    </row>
    <row r="66" ht="15.75" customHeight="1">
      <c r="B66" s="41" t="s">
        <v>206</v>
      </c>
      <c r="C66" s="17"/>
      <c r="D66" s="42" t="s">
        <v>75</v>
      </c>
      <c r="E66" s="42" t="s">
        <v>209</v>
      </c>
      <c r="F66" s="42">
        <v>1.0</v>
      </c>
      <c r="G66" s="42"/>
      <c r="I66" s="41" t="s">
        <v>199</v>
      </c>
      <c r="J66" s="17"/>
      <c r="K66" s="40" t="s">
        <v>78</v>
      </c>
      <c r="L66" s="40" t="s">
        <v>78</v>
      </c>
      <c r="M66" s="42">
        <v>1.0</v>
      </c>
      <c r="N66" s="40"/>
      <c r="P66" s="36" t="s">
        <v>210</v>
      </c>
      <c r="Q66" s="17"/>
      <c r="R66" s="28" t="s">
        <v>141</v>
      </c>
      <c r="S66" s="16"/>
      <c r="T66" s="16"/>
      <c r="U66" s="17"/>
    </row>
    <row r="67" ht="15.75" customHeight="1">
      <c r="B67" s="42" t="s">
        <v>173</v>
      </c>
      <c r="C67" s="42"/>
      <c r="D67" s="42" t="s">
        <v>211</v>
      </c>
      <c r="E67" s="42" t="s">
        <v>78</v>
      </c>
      <c r="F67" s="42"/>
      <c r="G67" s="42" t="s">
        <v>212</v>
      </c>
      <c r="I67" s="39" t="s">
        <v>77</v>
      </c>
      <c r="J67" s="17"/>
      <c r="K67" s="40" t="s">
        <v>78</v>
      </c>
      <c r="L67" s="40" t="s">
        <v>78</v>
      </c>
      <c r="M67" s="40">
        <v>2.0</v>
      </c>
      <c r="N67" s="40"/>
      <c r="P67" s="41" t="s">
        <v>149</v>
      </c>
      <c r="Q67" s="17"/>
      <c r="R67" s="42" t="s">
        <v>78</v>
      </c>
      <c r="S67" s="42" t="s">
        <v>78</v>
      </c>
      <c r="T67" s="42">
        <v>3.0</v>
      </c>
      <c r="U67" s="42"/>
    </row>
    <row r="68" ht="15.75" customHeight="1">
      <c r="B68" s="41" t="s">
        <v>213</v>
      </c>
      <c r="C68" s="17"/>
      <c r="D68" s="42" t="s">
        <v>87</v>
      </c>
      <c r="E68" s="42" t="s">
        <v>152</v>
      </c>
      <c r="F68" s="42">
        <v>1.0</v>
      </c>
      <c r="G68" s="42"/>
      <c r="I68" s="39" t="s">
        <v>214</v>
      </c>
      <c r="J68" s="17"/>
      <c r="K68" s="40" t="s">
        <v>215</v>
      </c>
      <c r="L68" s="45">
        <v>71375.0</v>
      </c>
      <c r="M68" s="40">
        <v>1.0</v>
      </c>
      <c r="N68" s="40"/>
      <c r="P68" s="41" t="s">
        <v>153</v>
      </c>
      <c r="Q68" s="17"/>
      <c r="R68" s="42" t="s">
        <v>78</v>
      </c>
      <c r="S68" s="42" t="s">
        <v>78</v>
      </c>
      <c r="T68" s="42">
        <v>1.0</v>
      </c>
      <c r="U68" s="42"/>
    </row>
    <row r="69" ht="15.75" customHeight="1">
      <c r="B69" s="41" t="s">
        <v>213</v>
      </c>
      <c r="C69" s="17"/>
      <c r="D69" s="72" t="s">
        <v>118</v>
      </c>
      <c r="E69" s="72" t="s">
        <v>78</v>
      </c>
      <c r="F69" s="72">
        <v>1.0</v>
      </c>
      <c r="G69" s="42"/>
      <c r="I69" s="39" t="s">
        <v>216</v>
      </c>
      <c r="J69" s="17"/>
      <c r="K69" s="40" t="s">
        <v>87</v>
      </c>
      <c r="L69" s="40" t="s">
        <v>217</v>
      </c>
      <c r="M69" s="40">
        <v>1.0</v>
      </c>
      <c r="N69" s="40"/>
      <c r="P69" s="41" t="s">
        <v>90</v>
      </c>
      <c r="Q69" s="17"/>
      <c r="R69" s="42" t="s">
        <v>78</v>
      </c>
      <c r="S69" s="42" t="s">
        <v>78</v>
      </c>
      <c r="T69" s="42">
        <v>2.0</v>
      </c>
      <c r="U69" s="42"/>
    </row>
    <row r="70" ht="15.75" customHeight="1">
      <c r="B70" s="41" t="s">
        <v>218</v>
      </c>
      <c r="C70" s="17"/>
      <c r="D70" s="42" t="s">
        <v>87</v>
      </c>
      <c r="E70" s="63" t="s">
        <v>219</v>
      </c>
      <c r="F70" s="42">
        <v>1.0</v>
      </c>
      <c r="G70" s="42"/>
      <c r="I70" s="25" t="s">
        <v>80</v>
      </c>
      <c r="J70" s="17"/>
      <c r="K70" s="4" t="s">
        <v>220</v>
      </c>
      <c r="L70" s="4" t="s">
        <v>221</v>
      </c>
      <c r="M70" s="4">
        <v>1.0</v>
      </c>
      <c r="N70" s="4"/>
      <c r="P70" s="41" t="s">
        <v>94</v>
      </c>
      <c r="Q70" s="17"/>
      <c r="R70" s="42" t="s">
        <v>222</v>
      </c>
      <c r="S70" s="63">
        <v>8.178976372E9</v>
      </c>
      <c r="T70" s="42">
        <v>2.0</v>
      </c>
      <c r="U70" s="42"/>
    </row>
    <row r="71" ht="15.75" customHeight="1">
      <c r="B71" s="41" t="s">
        <v>218</v>
      </c>
      <c r="C71" s="17"/>
      <c r="D71" s="42" t="s">
        <v>78</v>
      </c>
      <c r="E71" s="42" t="s">
        <v>78</v>
      </c>
      <c r="F71" s="42">
        <v>1.0</v>
      </c>
      <c r="G71" s="42"/>
      <c r="I71" s="73" t="s">
        <v>223</v>
      </c>
      <c r="J71" s="17"/>
      <c r="K71" s="72" t="s">
        <v>224</v>
      </c>
      <c r="L71" s="72">
        <v>2.3</v>
      </c>
      <c r="M71" s="72">
        <v>2.0</v>
      </c>
      <c r="N71" s="4"/>
      <c r="O71" s="24" t="s">
        <v>225</v>
      </c>
      <c r="P71" s="73" t="s">
        <v>98</v>
      </c>
      <c r="Q71" s="17"/>
      <c r="R71" s="72" t="s">
        <v>87</v>
      </c>
      <c r="S71" s="72" t="s">
        <v>226</v>
      </c>
      <c r="T71" s="72">
        <v>2.0</v>
      </c>
      <c r="U71" s="72"/>
    </row>
    <row r="72" ht="15.75" customHeight="1">
      <c r="B72" s="41" t="s">
        <v>227</v>
      </c>
      <c r="C72" s="17"/>
      <c r="D72" s="42" t="s">
        <v>197</v>
      </c>
      <c r="E72" s="42" t="s">
        <v>228</v>
      </c>
      <c r="F72" s="42">
        <v>1.0</v>
      </c>
      <c r="G72" s="42"/>
      <c r="I72" s="39" t="s">
        <v>229</v>
      </c>
      <c r="J72" s="17"/>
      <c r="K72" s="4" t="s">
        <v>222</v>
      </c>
      <c r="L72" s="47"/>
      <c r="M72" s="4">
        <v>2.0</v>
      </c>
      <c r="N72" s="4"/>
      <c r="P72" s="73" t="s">
        <v>230</v>
      </c>
      <c r="Q72" s="17"/>
      <c r="R72" s="72" t="s">
        <v>78</v>
      </c>
      <c r="S72" s="72" t="s">
        <v>78</v>
      </c>
      <c r="T72" s="72">
        <v>2.0</v>
      </c>
      <c r="U72" s="72"/>
    </row>
    <row r="73" ht="15.75" customHeight="1">
      <c r="B73" s="41" t="s">
        <v>231</v>
      </c>
      <c r="C73" s="17"/>
      <c r="D73" s="42" t="s">
        <v>232</v>
      </c>
      <c r="E73" s="63" t="s">
        <v>233</v>
      </c>
      <c r="F73" s="42"/>
      <c r="G73" s="42" t="s">
        <v>212</v>
      </c>
      <c r="I73" s="25" t="s">
        <v>127</v>
      </c>
      <c r="J73" s="17"/>
      <c r="K73" s="4" t="s">
        <v>234</v>
      </c>
      <c r="L73" s="4"/>
      <c r="M73" s="4">
        <v>1.0</v>
      </c>
      <c r="N73" s="4"/>
      <c r="P73" s="73" t="s">
        <v>235</v>
      </c>
      <c r="Q73" s="17"/>
      <c r="R73" s="72" t="s">
        <v>78</v>
      </c>
      <c r="S73" s="72" t="s">
        <v>78</v>
      </c>
      <c r="T73" s="72">
        <v>2.0</v>
      </c>
      <c r="U73" s="72"/>
    </row>
    <row r="74" ht="15.75" customHeight="1">
      <c r="B74" s="41" t="s">
        <v>236</v>
      </c>
      <c r="C74" s="17"/>
      <c r="D74" s="42" t="s">
        <v>237</v>
      </c>
      <c r="E74" s="42" t="s">
        <v>78</v>
      </c>
      <c r="F74" s="42">
        <v>1.0</v>
      </c>
      <c r="G74" s="42"/>
      <c r="I74" s="25" t="s">
        <v>238</v>
      </c>
      <c r="J74" s="17"/>
      <c r="K74" s="40" t="s">
        <v>78</v>
      </c>
      <c r="L74" s="40" t="s">
        <v>78</v>
      </c>
      <c r="M74" s="4">
        <v>2.0</v>
      </c>
      <c r="N74" s="4"/>
      <c r="P74" s="73" t="s">
        <v>103</v>
      </c>
      <c r="Q74" s="17"/>
      <c r="R74" s="74" t="s">
        <v>222</v>
      </c>
      <c r="S74" s="74" t="s">
        <v>78</v>
      </c>
      <c r="T74" s="74">
        <v>2.0</v>
      </c>
      <c r="U74" s="74"/>
    </row>
    <row r="75" ht="15.75" customHeight="1">
      <c r="B75" s="41" t="s">
        <v>150</v>
      </c>
      <c r="C75" s="17"/>
      <c r="D75" s="42" t="s">
        <v>239</v>
      </c>
      <c r="E75" s="42" t="s">
        <v>78</v>
      </c>
      <c r="F75" s="42">
        <v>1.0</v>
      </c>
      <c r="G75" s="42" t="s">
        <v>240</v>
      </c>
      <c r="I75" s="20" t="s">
        <v>38</v>
      </c>
      <c r="J75" s="17"/>
      <c r="K75" s="4"/>
      <c r="L75" s="4"/>
      <c r="M75" s="4">
        <f>SUM(M46:M74)</f>
        <v>36</v>
      </c>
      <c r="N75" s="4"/>
      <c r="P75" s="73" t="s">
        <v>241</v>
      </c>
      <c r="Q75" s="17"/>
      <c r="R75" s="72"/>
      <c r="S75" s="72"/>
      <c r="T75" s="72"/>
      <c r="U75" s="72" t="s">
        <v>212</v>
      </c>
    </row>
    <row r="76" ht="15.75" customHeight="1">
      <c r="B76" s="41" t="s">
        <v>101</v>
      </c>
      <c r="C76" s="17"/>
      <c r="D76" s="42" t="s">
        <v>242</v>
      </c>
      <c r="E76" s="42" t="s">
        <v>243</v>
      </c>
      <c r="F76" s="42">
        <v>1.0</v>
      </c>
      <c r="G76" s="42"/>
      <c r="P76" s="73" t="s">
        <v>244</v>
      </c>
      <c r="Q76" s="17"/>
      <c r="R76" s="72" t="s">
        <v>78</v>
      </c>
      <c r="S76" s="72" t="s">
        <v>78</v>
      </c>
      <c r="T76" s="72">
        <v>4.0</v>
      </c>
      <c r="U76" s="72"/>
    </row>
    <row r="77" ht="15.75" customHeight="1">
      <c r="B77" s="41" t="s">
        <v>101</v>
      </c>
      <c r="C77" s="17"/>
      <c r="D77" s="42" t="s">
        <v>75</v>
      </c>
      <c r="E77" s="42" t="s">
        <v>245</v>
      </c>
      <c r="F77" s="42">
        <v>1.0</v>
      </c>
      <c r="G77" s="42"/>
      <c r="P77" s="73" t="s">
        <v>246</v>
      </c>
      <c r="Q77" s="17"/>
      <c r="R77" s="72" t="s">
        <v>78</v>
      </c>
      <c r="S77" s="72" t="s">
        <v>78</v>
      </c>
      <c r="T77" s="72">
        <v>1.0</v>
      </c>
      <c r="U77" s="72"/>
    </row>
    <row r="78" ht="15.75" customHeight="1">
      <c r="B78" s="41" t="s">
        <v>247</v>
      </c>
      <c r="C78" s="17"/>
      <c r="D78" s="42" t="s">
        <v>87</v>
      </c>
      <c r="E78" s="42" t="s">
        <v>248</v>
      </c>
      <c r="F78" s="42">
        <v>1.0</v>
      </c>
      <c r="G78" s="42"/>
      <c r="I78" s="28" t="s">
        <v>58</v>
      </c>
      <c r="J78" s="16"/>
      <c r="K78" s="16"/>
      <c r="L78" s="16"/>
      <c r="M78" s="16"/>
      <c r="N78" s="17"/>
      <c r="P78" s="25"/>
      <c r="Q78" s="17"/>
      <c r="R78" s="4"/>
      <c r="S78" s="4"/>
      <c r="U78" s="4"/>
    </row>
    <row r="79" ht="15.75" customHeight="1">
      <c r="B79" s="41" t="s">
        <v>249</v>
      </c>
      <c r="C79" s="17"/>
      <c r="D79" s="42" t="s">
        <v>78</v>
      </c>
      <c r="E79" s="42" t="s">
        <v>78</v>
      </c>
      <c r="F79" s="42">
        <v>1.0</v>
      </c>
      <c r="G79" s="42"/>
      <c r="I79" s="28" t="s">
        <v>14</v>
      </c>
      <c r="J79" s="16"/>
      <c r="K79" s="16"/>
      <c r="L79" s="16"/>
      <c r="M79" s="16"/>
      <c r="N79" s="17"/>
      <c r="P79" s="25"/>
      <c r="Q79" s="17"/>
      <c r="R79" s="4"/>
      <c r="S79" s="4"/>
      <c r="T79" s="4"/>
      <c r="U79" s="4"/>
    </row>
    <row r="80" ht="15.75" customHeight="1">
      <c r="B80" s="73" t="s">
        <v>250</v>
      </c>
      <c r="C80" s="17"/>
      <c r="D80" s="72" t="s">
        <v>78</v>
      </c>
      <c r="E80" s="72" t="s">
        <v>78</v>
      </c>
      <c r="F80" s="72">
        <v>1.0</v>
      </c>
      <c r="G80" s="72"/>
      <c r="I80" s="28" t="s">
        <v>60</v>
      </c>
      <c r="J80" s="17"/>
      <c r="K80" s="30" t="s">
        <v>16</v>
      </c>
      <c r="L80" s="30" t="s">
        <v>17</v>
      </c>
      <c r="M80" s="30" t="s">
        <v>18</v>
      </c>
      <c r="N80" s="30" t="s">
        <v>19</v>
      </c>
      <c r="P80" s="20" t="s">
        <v>38</v>
      </c>
      <c r="Q80" s="75"/>
      <c r="R80" s="75"/>
      <c r="S80" s="75"/>
      <c r="T80" s="48">
        <f>SUM(T67:T79)</f>
        <v>21</v>
      </c>
      <c r="U80" s="76"/>
    </row>
    <row r="81" ht="15.75" customHeight="1">
      <c r="B81" s="73" t="s">
        <v>80</v>
      </c>
      <c r="C81" s="17"/>
      <c r="D81" s="72" t="s">
        <v>222</v>
      </c>
      <c r="E81" s="72" t="s">
        <v>78</v>
      </c>
      <c r="F81" s="72">
        <v>1.0</v>
      </c>
      <c r="G81" s="72"/>
      <c r="I81" s="77" t="s">
        <v>251</v>
      </c>
      <c r="J81" s="17"/>
      <c r="K81" s="37" t="s">
        <v>64</v>
      </c>
      <c r="L81" s="16"/>
      <c r="M81" s="16"/>
      <c r="N81" s="17"/>
    </row>
    <row r="82" ht="15.75" customHeight="1">
      <c r="B82" s="73" t="s">
        <v>80</v>
      </c>
      <c r="C82" s="17"/>
      <c r="D82" s="72" t="s">
        <v>87</v>
      </c>
      <c r="E82" s="72">
        <v>4021.0</v>
      </c>
      <c r="F82" s="72">
        <v>1.0</v>
      </c>
      <c r="G82" s="72"/>
      <c r="I82" s="78" t="s">
        <v>252</v>
      </c>
      <c r="J82" s="79"/>
      <c r="K82" s="80" t="s">
        <v>253</v>
      </c>
      <c r="L82" s="80" t="s">
        <v>78</v>
      </c>
      <c r="M82" s="81">
        <v>1.0</v>
      </c>
      <c r="N82" s="82"/>
      <c r="P82" s="18" t="s">
        <v>58</v>
      </c>
      <c r="Q82" s="16"/>
      <c r="R82" s="16"/>
      <c r="S82" s="16"/>
      <c r="T82" s="16"/>
      <c r="U82" s="17"/>
    </row>
    <row r="83" ht="15.75" customHeight="1">
      <c r="B83" s="73" t="s">
        <v>254</v>
      </c>
      <c r="C83" s="17"/>
      <c r="D83" s="72" t="s">
        <v>78</v>
      </c>
      <c r="E83" s="72" t="s">
        <v>78</v>
      </c>
      <c r="F83" s="72">
        <v>2.0</v>
      </c>
      <c r="G83" s="72"/>
      <c r="I83" s="83" t="s">
        <v>255</v>
      </c>
      <c r="J83" s="79"/>
      <c r="K83" s="82"/>
      <c r="L83" s="82"/>
      <c r="M83" s="84"/>
      <c r="N83" s="82" t="s">
        <v>123</v>
      </c>
      <c r="P83" s="18" t="s">
        <v>14</v>
      </c>
      <c r="Q83" s="16"/>
      <c r="R83" s="16"/>
      <c r="S83" s="16"/>
      <c r="T83" s="16"/>
      <c r="U83" s="17"/>
    </row>
    <row r="84" ht="15.75" customHeight="1">
      <c r="B84" s="20" t="s">
        <v>256</v>
      </c>
      <c r="C84" s="17"/>
      <c r="D84" s="4"/>
      <c r="E84" s="4"/>
      <c r="F84" s="4">
        <f>SUM(F46:F83)</f>
        <v>37</v>
      </c>
      <c r="G84" s="4"/>
      <c r="I84" s="83" t="s">
        <v>257</v>
      </c>
      <c r="J84" s="79"/>
      <c r="K84" s="82" t="s">
        <v>253</v>
      </c>
      <c r="L84" s="82" t="s">
        <v>78</v>
      </c>
      <c r="M84" s="84">
        <v>1.0</v>
      </c>
      <c r="N84" s="82"/>
      <c r="P84" s="37" t="s">
        <v>60</v>
      </c>
      <c r="Q84" s="17"/>
      <c r="R84" s="38" t="s">
        <v>16</v>
      </c>
      <c r="S84" s="38" t="s">
        <v>17</v>
      </c>
      <c r="T84" s="38" t="s">
        <v>18</v>
      </c>
      <c r="U84" s="38" t="s">
        <v>19</v>
      </c>
    </row>
    <row r="85" ht="15.75" customHeight="1">
      <c r="I85" s="83" t="s">
        <v>83</v>
      </c>
      <c r="J85" s="79"/>
      <c r="K85" s="82" t="s">
        <v>87</v>
      </c>
      <c r="L85" s="85">
        <v>13.0</v>
      </c>
      <c r="M85" s="84">
        <v>1.0</v>
      </c>
      <c r="N85" s="82"/>
      <c r="P85" s="86" t="s">
        <v>258</v>
      </c>
      <c r="Q85" s="17"/>
      <c r="R85" s="18"/>
      <c r="S85" s="16"/>
      <c r="T85" s="16"/>
      <c r="U85" s="17"/>
    </row>
    <row r="86" ht="15.75" customHeight="1">
      <c r="I86" s="83" t="s">
        <v>146</v>
      </c>
      <c r="J86" s="79"/>
      <c r="K86" s="82" t="s">
        <v>259</v>
      </c>
      <c r="L86" s="85" t="s">
        <v>78</v>
      </c>
      <c r="M86" s="84">
        <v>1.0</v>
      </c>
      <c r="N86" s="82"/>
      <c r="P86" s="87" t="s">
        <v>260</v>
      </c>
      <c r="Q86" s="17"/>
      <c r="R86" s="88"/>
      <c r="S86" s="88"/>
      <c r="T86" s="89">
        <v>2.0</v>
      </c>
      <c r="U86" s="40"/>
    </row>
    <row r="87" ht="15.75" customHeight="1">
      <c r="B87" s="90" t="s">
        <v>261</v>
      </c>
      <c r="I87" s="83" t="s">
        <v>262</v>
      </c>
      <c r="J87" s="79"/>
      <c r="K87" s="82" t="s">
        <v>87</v>
      </c>
      <c r="L87" s="85" t="s">
        <v>263</v>
      </c>
      <c r="M87" s="84">
        <v>1.0</v>
      </c>
      <c r="N87" s="82"/>
      <c r="P87" s="83" t="s">
        <v>90</v>
      </c>
      <c r="Q87" s="79"/>
      <c r="R87" s="82"/>
      <c r="S87" s="82"/>
      <c r="T87" s="84">
        <v>2.0</v>
      </c>
      <c r="U87" s="40"/>
      <c r="X87" s="32" t="s">
        <v>264</v>
      </c>
      <c r="Y87" s="17"/>
    </row>
    <row r="88" ht="15.75" customHeight="1">
      <c r="I88" s="83" t="s">
        <v>265</v>
      </c>
      <c r="J88" s="79"/>
      <c r="K88" s="82" t="s">
        <v>75</v>
      </c>
      <c r="L88" s="82" t="s">
        <v>266</v>
      </c>
      <c r="M88" s="84">
        <v>1.0</v>
      </c>
      <c r="N88" s="82"/>
      <c r="P88" s="39" t="s">
        <v>267</v>
      </c>
      <c r="Q88" s="17"/>
      <c r="R88" s="40"/>
      <c r="S88" s="40"/>
      <c r="T88" s="40">
        <v>1.0</v>
      </c>
      <c r="U88" s="40"/>
      <c r="X88" s="41" t="s">
        <v>268</v>
      </c>
      <c r="Y88" s="17"/>
    </row>
    <row r="89" ht="15.75" customHeight="1">
      <c r="B89" s="28" t="s">
        <v>58</v>
      </c>
      <c r="C89" s="16"/>
      <c r="D89" s="16"/>
      <c r="E89" s="16"/>
      <c r="F89" s="16"/>
      <c r="G89" s="17"/>
      <c r="I89" s="83" t="s">
        <v>269</v>
      </c>
      <c r="J89" s="79"/>
      <c r="K89" s="82" t="s">
        <v>87</v>
      </c>
      <c r="L89" s="82" t="s">
        <v>270</v>
      </c>
      <c r="M89" s="84">
        <v>1.0</v>
      </c>
      <c r="N89" s="82"/>
      <c r="P89" s="73" t="s">
        <v>271</v>
      </c>
      <c r="Q89" s="17"/>
      <c r="R89" s="91"/>
      <c r="S89" s="92"/>
      <c r="T89" s="72">
        <v>2.0</v>
      </c>
      <c r="U89" s="40"/>
      <c r="X89" s="41" t="s">
        <v>272</v>
      </c>
      <c r="Y89" s="17"/>
    </row>
    <row r="90" ht="15.75" customHeight="1">
      <c r="B90" s="28" t="s">
        <v>14</v>
      </c>
      <c r="C90" s="16"/>
      <c r="D90" s="16"/>
      <c r="E90" s="16"/>
      <c r="F90" s="16"/>
      <c r="G90" s="17"/>
      <c r="I90" s="83" t="s">
        <v>262</v>
      </c>
      <c r="J90" s="79"/>
      <c r="K90" s="82"/>
      <c r="L90" s="82" t="s">
        <v>78</v>
      </c>
      <c r="M90" s="84">
        <v>1.0</v>
      </c>
      <c r="N90" s="82"/>
      <c r="P90" s="87" t="s">
        <v>273</v>
      </c>
      <c r="Q90" s="17"/>
      <c r="R90" s="88"/>
      <c r="S90" s="88"/>
      <c r="T90" s="89">
        <v>2.0</v>
      </c>
      <c r="U90" s="4"/>
      <c r="X90" s="41" t="s">
        <v>157</v>
      </c>
      <c r="Y90" s="17"/>
    </row>
    <row r="91" ht="15.75" customHeight="1">
      <c r="B91" s="28" t="s">
        <v>60</v>
      </c>
      <c r="C91" s="17"/>
      <c r="D91" s="30" t="s">
        <v>16</v>
      </c>
      <c r="E91" s="30" t="s">
        <v>17</v>
      </c>
      <c r="F91" s="30" t="s">
        <v>18</v>
      </c>
      <c r="G91" s="30" t="s">
        <v>19</v>
      </c>
      <c r="I91" s="83" t="s">
        <v>274</v>
      </c>
      <c r="J91" s="79"/>
      <c r="K91" s="82" t="s">
        <v>222</v>
      </c>
      <c r="L91" s="82" t="s">
        <v>78</v>
      </c>
      <c r="M91" s="84">
        <v>1.0</v>
      </c>
      <c r="N91" s="82"/>
      <c r="P91" s="25" t="s">
        <v>275</v>
      </c>
      <c r="Q91" s="17"/>
      <c r="R91" s="4"/>
      <c r="S91" s="4"/>
      <c r="T91" s="4">
        <v>2.0</v>
      </c>
      <c r="U91" s="4"/>
      <c r="X91" s="41" t="s">
        <v>276</v>
      </c>
      <c r="Y91" s="17"/>
    </row>
    <row r="92" ht="15.75" customHeight="1">
      <c r="B92" s="36" t="s">
        <v>277</v>
      </c>
      <c r="C92" s="17"/>
      <c r="D92" s="93" t="s">
        <v>278</v>
      </c>
      <c r="E92" s="34"/>
      <c r="F92" s="34"/>
      <c r="G92" s="79"/>
      <c r="I92" s="83" t="s">
        <v>279</v>
      </c>
      <c r="J92" s="79"/>
      <c r="K92" s="82" t="s">
        <v>78</v>
      </c>
      <c r="L92" s="82" t="s">
        <v>78</v>
      </c>
      <c r="M92" s="84">
        <v>1.0</v>
      </c>
      <c r="N92" s="82"/>
      <c r="P92" s="25" t="s">
        <v>103</v>
      </c>
      <c r="Q92" s="17"/>
      <c r="R92" s="4"/>
      <c r="S92" s="4"/>
      <c r="T92" s="4">
        <v>2.0</v>
      </c>
      <c r="U92" s="4"/>
      <c r="X92" s="41" t="s">
        <v>189</v>
      </c>
      <c r="Y92" s="17"/>
    </row>
    <row r="93" ht="15.75" customHeight="1">
      <c r="B93" s="41" t="s">
        <v>268</v>
      </c>
      <c r="C93" s="17"/>
      <c r="D93" s="42" t="s">
        <v>75</v>
      </c>
      <c r="E93" s="42" t="s">
        <v>280</v>
      </c>
      <c r="F93" s="42">
        <v>1.0</v>
      </c>
      <c r="G93" s="42"/>
      <c r="I93" s="83" t="s">
        <v>281</v>
      </c>
      <c r="J93" s="79"/>
      <c r="K93" s="82" t="s">
        <v>84</v>
      </c>
      <c r="L93" s="82" t="s">
        <v>78</v>
      </c>
      <c r="M93" s="84">
        <v>1.0</v>
      </c>
      <c r="N93" s="82"/>
      <c r="P93" s="25" t="s">
        <v>282</v>
      </c>
      <c r="Q93" s="17"/>
      <c r="R93" s="4"/>
      <c r="S93" s="4"/>
      <c r="T93" s="4">
        <v>1.0</v>
      </c>
      <c r="U93" s="4"/>
      <c r="X93" s="41" t="s">
        <v>283</v>
      </c>
      <c r="Y93" s="17"/>
    </row>
    <row r="94" ht="15.75" customHeight="1">
      <c r="B94" s="41" t="s">
        <v>268</v>
      </c>
      <c r="C94" s="17"/>
      <c r="D94" s="42" t="s">
        <v>87</v>
      </c>
      <c r="E94" s="42" t="s">
        <v>284</v>
      </c>
      <c r="F94" s="42">
        <v>1.0</v>
      </c>
      <c r="G94" s="42"/>
      <c r="I94" s="94"/>
      <c r="J94" s="94"/>
      <c r="K94" s="82"/>
      <c r="L94" s="82"/>
      <c r="M94" s="84"/>
      <c r="N94" s="82"/>
      <c r="P94" s="4"/>
      <c r="Q94" s="4"/>
      <c r="R94" s="4"/>
      <c r="S94" s="4"/>
      <c r="T94" s="4"/>
      <c r="U94" s="4"/>
      <c r="X94" s="41" t="s">
        <v>180</v>
      </c>
      <c r="Y94" s="17"/>
    </row>
    <row r="95" ht="15.75" customHeight="1">
      <c r="B95" s="41" t="s">
        <v>157</v>
      </c>
      <c r="C95" s="17"/>
      <c r="D95" s="42" t="s">
        <v>285</v>
      </c>
      <c r="E95" s="42" t="s">
        <v>286</v>
      </c>
      <c r="F95" s="42">
        <v>1.0</v>
      </c>
      <c r="G95" s="42"/>
      <c r="I95" s="94"/>
      <c r="J95" s="94"/>
      <c r="K95" s="82"/>
      <c r="L95" s="82"/>
      <c r="M95" s="84"/>
      <c r="N95" s="82"/>
      <c r="P95" s="4"/>
      <c r="Q95" s="4"/>
      <c r="R95" s="4"/>
      <c r="S95" s="4"/>
      <c r="T95" s="4"/>
      <c r="U95" s="4"/>
      <c r="X95" s="41" t="s">
        <v>287</v>
      </c>
      <c r="Y95" s="17"/>
    </row>
    <row r="96" ht="15.75" customHeight="1">
      <c r="B96" s="41" t="s">
        <v>157</v>
      </c>
      <c r="C96" s="17"/>
      <c r="D96" s="42" t="s">
        <v>75</v>
      </c>
      <c r="E96" s="42" t="s">
        <v>288</v>
      </c>
      <c r="F96" s="42">
        <v>2.0</v>
      </c>
      <c r="G96" s="42"/>
      <c r="I96" s="83" t="s">
        <v>231</v>
      </c>
      <c r="J96" s="79"/>
      <c r="K96" s="82" t="s">
        <v>84</v>
      </c>
      <c r="L96" s="82" t="s">
        <v>78</v>
      </c>
      <c r="M96" s="84">
        <v>1.0</v>
      </c>
      <c r="N96" s="82"/>
      <c r="P96" s="25" t="s">
        <v>153</v>
      </c>
      <c r="Q96" s="17"/>
      <c r="R96" s="4"/>
      <c r="S96" s="4"/>
      <c r="T96" s="4">
        <v>2.0</v>
      </c>
      <c r="U96" s="4"/>
      <c r="X96" s="41" t="s">
        <v>199</v>
      </c>
      <c r="Y96" s="17"/>
    </row>
    <row r="97" ht="15.75" customHeight="1">
      <c r="B97" s="41" t="s">
        <v>189</v>
      </c>
      <c r="C97" s="17"/>
      <c r="D97" s="42" t="s">
        <v>289</v>
      </c>
      <c r="E97" s="42" t="s">
        <v>290</v>
      </c>
      <c r="F97" s="42">
        <v>1.0</v>
      </c>
      <c r="G97" s="42"/>
      <c r="I97" s="83" t="s">
        <v>236</v>
      </c>
      <c r="J97" s="79"/>
      <c r="K97" s="82" t="s">
        <v>78</v>
      </c>
      <c r="L97" s="82" t="s">
        <v>78</v>
      </c>
      <c r="M97" s="84">
        <v>1.0</v>
      </c>
      <c r="N97" s="82"/>
      <c r="P97" s="25" t="s">
        <v>291</v>
      </c>
      <c r="Q97" s="17"/>
      <c r="R97" s="4"/>
      <c r="S97" s="4"/>
      <c r="T97" s="4">
        <v>4.0</v>
      </c>
      <c r="U97" s="4"/>
      <c r="X97" s="41" t="s">
        <v>122</v>
      </c>
      <c r="Y97" s="17"/>
    </row>
    <row r="98" ht="15.75" customHeight="1">
      <c r="B98" s="41" t="s">
        <v>283</v>
      </c>
      <c r="C98" s="17"/>
      <c r="D98" s="42" t="s">
        <v>87</v>
      </c>
      <c r="E98" s="42" t="s">
        <v>292</v>
      </c>
      <c r="F98" s="42">
        <v>2.0</v>
      </c>
      <c r="G98" s="42"/>
      <c r="I98" s="83" t="s">
        <v>293</v>
      </c>
      <c r="J98" s="79"/>
      <c r="K98" s="82" t="s">
        <v>220</v>
      </c>
      <c r="L98" s="82" t="s">
        <v>78</v>
      </c>
      <c r="M98" s="84">
        <v>1.0</v>
      </c>
      <c r="N98" s="82"/>
      <c r="P98" s="25" t="s">
        <v>294</v>
      </c>
      <c r="Q98" s="17"/>
      <c r="R98" s="4"/>
      <c r="S98" s="4"/>
      <c r="T98" s="4">
        <v>4.0</v>
      </c>
      <c r="U98" s="4"/>
      <c r="X98" s="41" t="s">
        <v>175</v>
      </c>
      <c r="Y98" s="17"/>
    </row>
    <row r="99" ht="15.75" customHeight="1">
      <c r="B99" s="41" t="s">
        <v>180</v>
      </c>
      <c r="C99" s="17"/>
      <c r="D99" s="42" t="s">
        <v>75</v>
      </c>
      <c r="E99" s="63" t="s">
        <v>295</v>
      </c>
      <c r="F99" s="42">
        <v>2.0</v>
      </c>
      <c r="G99" s="42"/>
      <c r="I99" s="83" t="s">
        <v>296</v>
      </c>
      <c r="J99" s="79"/>
      <c r="K99" s="82" t="s">
        <v>253</v>
      </c>
      <c r="L99" s="82" t="s">
        <v>78</v>
      </c>
      <c r="M99" s="84">
        <v>2.0</v>
      </c>
      <c r="N99" s="4"/>
      <c r="P99" s="25"/>
      <c r="Q99" s="17"/>
      <c r="R99" s="4"/>
      <c r="S99" s="4"/>
      <c r="T99" s="4"/>
      <c r="U99" s="4"/>
      <c r="X99" s="41" t="s">
        <v>297</v>
      </c>
      <c r="Y99" s="17"/>
    </row>
    <row r="100" ht="15.75" customHeight="1">
      <c r="B100" s="41" t="s">
        <v>199</v>
      </c>
      <c r="C100" s="17"/>
      <c r="D100" s="42" t="s">
        <v>197</v>
      </c>
      <c r="E100" s="42" t="s">
        <v>298</v>
      </c>
      <c r="F100" s="42">
        <v>1.0</v>
      </c>
      <c r="G100" s="95"/>
      <c r="I100" s="96"/>
      <c r="J100" s="96"/>
      <c r="K100" s="97"/>
      <c r="L100" s="97"/>
      <c r="M100" s="97"/>
      <c r="N100" s="4"/>
      <c r="P100" s="4"/>
      <c r="Q100" s="4"/>
      <c r="R100" s="4"/>
      <c r="S100" s="4"/>
      <c r="T100" s="4"/>
      <c r="U100" s="4"/>
      <c r="X100" s="41" t="s">
        <v>158</v>
      </c>
      <c r="Y100" s="17"/>
    </row>
    <row r="101" ht="15.75" customHeight="1">
      <c r="B101" s="41" t="s">
        <v>199</v>
      </c>
      <c r="C101" s="17"/>
      <c r="D101" s="42" t="s">
        <v>78</v>
      </c>
      <c r="E101" s="42" t="s">
        <v>78</v>
      </c>
      <c r="F101" s="42">
        <v>1.0</v>
      </c>
      <c r="G101" s="95" t="s">
        <v>299</v>
      </c>
      <c r="I101" s="25" t="s">
        <v>199</v>
      </c>
      <c r="J101" s="17"/>
      <c r="K101" s="4" t="s">
        <v>87</v>
      </c>
      <c r="L101" s="4" t="s">
        <v>300</v>
      </c>
      <c r="M101" s="4">
        <v>1.0</v>
      </c>
      <c r="N101" s="4"/>
      <c r="P101" s="25"/>
      <c r="Q101" s="17"/>
      <c r="R101" s="4"/>
      <c r="S101" s="4"/>
      <c r="T101" s="4">
        <f>SUM(T86:T99)</f>
        <v>24</v>
      </c>
      <c r="U101" s="4"/>
      <c r="X101" s="41" t="s">
        <v>301</v>
      </c>
      <c r="Y101" s="17"/>
    </row>
    <row r="102" ht="15.75" customHeight="1">
      <c r="B102" s="41" t="s">
        <v>175</v>
      </c>
      <c r="C102" s="17"/>
      <c r="D102" s="42" t="s">
        <v>215</v>
      </c>
      <c r="E102" s="42" t="s">
        <v>302</v>
      </c>
      <c r="F102" s="42">
        <v>1.0</v>
      </c>
      <c r="G102" s="42"/>
      <c r="I102" s="25" t="s">
        <v>303</v>
      </c>
      <c r="J102" s="17"/>
      <c r="K102" s="4" t="s">
        <v>253</v>
      </c>
      <c r="L102" s="4" t="s">
        <v>78</v>
      </c>
      <c r="M102" s="4">
        <v>1.0</v>
      </c>
      <c r="N102" s="4"/>
      <c r="X102" s="41" t="s">
        <v>216</v>
      </c>
      <c r="Y102" s="17"/>
    </row>
    <row r="103" ht="15.75" customHeight="1">
      <c r="B103" s="41" t="s">
        <v>175</v>
      </c>
      <c r="C103" s="17"/>
      <c r="D103" s="42" t="s">
        <v>75</v>
      </c>
      <c r="E103" s="42" t="s">
        <v>304</v>
      </c>
      <c r="F103" s="42">
        <v>1.0</v>
      </c>
      <c r="G103" s="42"/>
      <c r="I103" s="4"/>
      <c r="J103" s="4"/>
      <c r="K103" s="4"/>
      <c r="L103" s="4"/>
      <c r="M103" s="4"/>
      <c r="N103" s="4"/>
      <c r="X103" s="41" t="s">
        <v>296</v>
      </c>
      <c r="Y103" s="17"/>
    </row>
    <row r="104" ht="15.75" customHeight="1">
      <c r="B104" s="41" t="s">
        <v>297</v>
      </c>
      <c r="C104" s="17"/>
      <c r="D104" s="42" t="s">
        <v>87</v>
      </c>
      <c r="E104" s="42" t="s">
        <v>305</v>
      </c>
      <c r="F104" s="42">
        <v>2.0</v>
      </c>
      <c r="G104" s="42"/>
      <c r="I104" s="25" t="s">
        <v>199</v>
      </c>
      <c r="J104" s="17"/>
      <c r="K104" s="4" t="s">
        <v>253</v>
      </c>
      <c r="L104" s="4" t="s">
        <v>78</v>
      </c>
      <c r="M104" s="4">
        <v>1.0</v>
      </c>
      <c r="N104" s="4"/>
      <c r="X104" s="41" t="s">
        <v>306</v>
      </c>
      <c r="Y104" s="17"/>
    </row>
    <row r="105" ht="15.75" customHeight="1">
      <c r="B105" s="41" t="s">
        <v>158</v>
      </c>
      <c r="C105" s="17"/>
      <c r="D105" s="42" t="s">
        <v>87</v>
      </c>
      <c r="E105" s="42" t="s">
        <v>307</v>
      </c>
      <c r="F105" s="42">
        <v>2.0</v>
      </c>
      <c r="G105" s="42" t="s">
        <v>225</v>
      </c>
      <c r="I105" s="25" t="s">
        <v>308</v>
      </c>
      <c r="J105" s="17"/>
      <c r="K105" s="4" t="s">
        <v>253</v>
      </c>
      <c r="L105" s="4" t="s">
        <v>78</v>
      </c>
      <c r="M105" s="4">
        <v>1.0</v>
      </c>
      <c r="N105" s="4"/>
      <c r="X105" s="41" t="s">
        <v>94</v>
      </c>
      <c r="Y105" s="17"/>
    </row>
    <row r="106" ht="15.75" customHeight="1">
      <c r="B106" s="41" t="s">
        <v>301</v>
      </c>
      <c r="C106" s="17"/>
      <c r="D106" s="42" t="s">
        <v>87</v>
      </c>
      <c r="E106" s="59" t="s">
        <v>147</v>
      </c>
      <c r="F106" s="42">
        <v>2.0</v>
      </c>
      <c r="G106" s="42"/>
      <c r="I106" s="25" t="s">
        <v>308</v>
      </c>
      <c r="J106" s="17"/>
      <c r="K106" s="4" t="s">
        <v>87</v>
      </c>
      <c r="L106" s="4" t="s">
        <v>309</v>
      </c>
      <c r="M106" s="4">
        <v>1.0</v>
      </c>
      <c r="N106" s="4"/>
      <c r="X106" s="41" t="s">
        <v>310</v>
      </c>
      <c r="Y106" s="17"/>
    </row>
    <row r="107" ht="15.75" customHeight="1">
      <c r="B107" s="41" t="s">
        <v>216</v>
      </c>
      <c r="C107" s="17"/>
      <c r="D107" s="42" t="s">
        <v>87</v>
      </c>
      <c r="E107" s="42" t="s">
        <v>217</v>
      </c>
      <c r="F107" s="42">
        <v>2.0</v>
      </c>
      <c r="G107" s="42"/>
      <c r="I107" s="20" t="s">
        <v>38</v>
      </c>
      <c r="J107" s="17"/>
      <c r="K107" s="4"/>
      <c r="L107" s="4"/>
      <c r="M107" s="4">
        <f>SUM(M81:M106)</f>
        <v>21</v>
      </c>
      <c r="N107" s="4"/>
      <c r="X107" s="41" t="s">
        <v>311</v>
      </c>
      <c r="Y107" s="17"/>
    </row>
    <row r="108" ht="15.75" customHeight="1">
      <c r="B108" s="41" t="s">
        <v>296</v>
      </c>
      <c r="C108" s="17"/>
      <c r="D108" s="42" t="s">
        <v>87</v>
      </c>
      <c r="E108" s="42" t="s">
        <v>312</v>
      </c>
      <c r="F108" s="42">
        <v>1.0</v>
      </c>
      <c r="G108" s="42"/>
      <c r="P108" s="90" t="s">
        <v>313</v>
      </c>
      <c r="X108" s="41" t="s">
        <v>126</v>
      </c>
      <c r="Y108" s="17"/>
    </row>
    <row r="109" ht="15.75" customHeight="1">
      <c r="B109" s="41" t="s">
        <v>306</v>
      </c>
      <c r="C109" s="17"/>
      <c r="D109" s="42" t="s">
        <v>78</v>
      </c>
      <c r="E109" s="42" t="s">
        <v>78</v>
      </c>
      <c r="F109" s="42">
        <v>2.0</v>
      </c>
      <c r="G109" s="42"/>
    </row>
    <row r="110" ht="15.75" customHeight="1">
      <c r="B110" s="41" t="s">
        <v>94</v>
      </c>
      <c r="C110" s="17"/>
      <c r="D110" s="42" t="s">
        <v>95</v>
      </c>
      <c r="E110" s="63">
        <v>8.065751795E9</v>
      </c>
      <c r="F110" s="42">
        <v>2.0</v>
      </c>
      <c r="G110" s="42"/>
      <c r="P110" s="18" t="s">
        <v>58</v>
      </c>
      <c r="Q110" s="16"/>
      <c r="R110" s="16"/>
      <c r="S110" s="16"/>
      <c r="T110" s="16"/>
      <c r="U110" s="17"/>
    </row>
    <row r="111" ht="15.75" customHeight="1">
      <c r="B111" s="41" t="s">
        <v>310</v>
      </c>
      <c r="C111" s="17"/>
      <c r="D111" s="42" t="s">
        <v>78</v>
      </c>
      <c r="E111" s="42" t="s">
        <v>78</v>
      </c>
      <c r="F111" s="42">
        <v>2.0</v>
      </c>
      <c r="G111" s="42"/>
      <c r="P111" s="18" t="s">
        <v>14</v>
      </c>
      <c r="Q111" s="16"/>
      <c r="R111" s="16"/>
      <c r="S111" s="16"/>
      <c r="T111" s="16"/>
      <c r="U111" s="17"/>
    </row>
    <row r="112" ht="15.75" customHeight="1">
      <c r="B112" s="41" t="s">
        <v>311</v>
      </c>
      <c r="C112" s="17"/>
      <c r="D112" s="42" t="s">
        <v>78</v>
      </c>
      <c r="E112" s="42" t="s">
        <v>78</v>
      </c>
      <c r="F112" s="42">
        <v>1.0</v>
      </c>
      <c r="G112" s="42"/>
      <c r="I112" s="28" t="s">
        <v>58</v>
      </c>
      <c r="J112" s="16"/>
      <c r="K112" s="16"/>
      <c r="L112" s="16"/>
      <c r="M112" s="16"/>
      <c r="N112" s="17"/>
      <c r="P112" s="18" t="s">
        <v>60</v>
      </c>
      <c r="Q112" s="17"/>
      <c r="R112" s="19" t="s">
        <v>16</v>
      </c>
      <c r="S112" s="19" t="s">
        <v>17</v>
      </c>
      <c r="T112" s="19" t="s">
        <v>18</v>
      </c>
      <c r="U112" s="19" t="s">
        <v>19</v>
      </c>
    </row>
    <row r="113" ht="15.75" customHeight="1">
      <c r="B113" s="41" t="s">
        <v>126</v>
      </c>
      <c r="C113" s="17"/>
      <c r="D113" s="42" t="s">
        <v>87</v>
      </c>
      <c r="E113" s="42" t="s">
        <v>314</v>
      </c>
      <c r="F113" s="42">
        <v>1.0</v>
      </c>
      <c r="G113" s="42"/>
      <c r="I113" s="28" t="s">
        <v>14</v>
      </c>
      <c r="J113" s="16"/>
      <c r="K113" s="16"/>
      <c r="L113" s="16"/>
      <c r="M113" s="16"/>
      <c r="N113" s="17"/>
      <c r="P113" s="32" t="s">
        <v>315</v>
      </c>
      <c r="Q113" s="17"/>
      <c r="R113" s="98" t="s">
        <v>316</v>
      </c>
      <c r="S113" s="34"/>
      <c r="T113" s="34"/>
      <c r="U113" s="79"/>
    </row>
    <row r="114" ht="15.75" customHeight="1">
      <c r="B114" s="41" t="s">
        <v>122</v>
      </c>
      <c r="C114" s="17"/>
      <c r="D114" s="42" t="s">
        <v>78</v>
      </c>
      <c r="E114" s="42" t="s">
        <v>78</v>
      </c>
      <c r="F114" s="42">
        <v>1.0</v>
      </c>
      <c r="G114" s="42"/>
      <c r="I114" s="28" t="s">
        <v>60</v>
      </c>
      <c r="J114" s="17"/>
      <c r="K114" s="30" t="s">
        <v>16</v>
      </c>
      <c r="L114" s="30" t="s">
        <v>17</v>
      </c>
      <c r="M114" s="30" t="s">
        <v>18</v>
      </c>
      <c r="N114" s="30" t="s">
        <v>19</v>
      </c>
      <c r="P114" s="39" t="s">
        <v>268</v>
      </c>
      <c r="Q114" s="17"/>
      <c r="R114" s="40" t="s">
        <v>75</v>
      </c>
      <c r="S114" s="40" t="s">
        <v>280</v>
      </c>
      <c r="T114" s="40">
        <v>1.0</v>
      </c>
      <c r="U114" s="42"/>
    </row>
    <row r="115" ht="15.75" customHeight="1">
      <c r="B115" s="41" t="s">
        <v>287</v>
      </c>
      <c r="C115" s="17"/>
      <c r="D115" s="42" t="s">
        <v>78</v>
      </c>
      <c r="E115" s="42" t="s">
        <v>78</v>
      </c>
      <c r="F115" s="42">
        <v>1.0</v>
      </c>
      <c r="G115" s="42"/>
      <c r="I115" s="28" t="s">
        <v>317</v>
      </c>
      <c r="J115" s="17"/>
      <c r="K115" s="28" t="s">
        <v>64</v>
      </c>
      <c r="L115" s="16"/>
      <c r="M115" s="16"/>
      <c r="N115" s="17"/>
      <c r="P115" s="39" t="s">
        <v>157</v>
      </c>
      <c r="Q115" s="17"/>
      <c r="R115" s="40" t="s">
        <v>75</v>
      </c>
      <c r="S115" s="40" t="s">
        <v>288</v>
      </c>
      <c r="T115" s="40">
        <v>1.0</v>
      </c>
      <c r="U115" s="40"/>
    </row>
    <row r="116" ht="15.75" customHeight="1">
      <c r="B116" s="41" t="s">
        <v>276</v>
      </c>
      <c r="C116" s="17"/>
      <c r="D116" s="42" t="s">
        <v>78</v>
      </c>
      <c r="E116" s="42" t="s">
        <v>78</v>
      </c>
      <c r="F116" s="42">
        <v>1.0</v>
      </c>
      <c r="G116" s="42"/>
      <c r="I116" s="39" t="s">
        <v>318</v>
      </c>
      <c r="J116" s="17"/>
      <c r="K116" s="4" t="s">
        <v>319</v>
      </c>
      <c r="L116" s="4" t="s">
        <v>78</v>
      </c>
      <c r="M116" s="4">
        <v>1.0</v>
      </c>
      <c r="N116" s="4"/>
      <c r="P116" s="39" t="s">
        <v>189</v>
      </c>
      <c r="Q116" s="17"/>
      <c r="R116" s="40" t="s">
        <v>118</v>
      </c>
      <c r="S116" s="40" t="s">
        <v>320</v>
      </c>
      <c r="T116" s="40">
        <v>1.0</v>
      </c>
      <c r="U116" s="40"/>
    </row>
    <row r="117" ht="15.75" customHeight="1">
      <c r="B117" s="41" t="s">
        <v>272</v>
      </c>
      <c r="C117" s="17"/>
      <c r="D117" s="42" t="s">
        <v>78</v>
      </c>
      <c r="E117" s="42" t="s">
        <v>78</v>
      </c>
      <c r="F117" s="42">
        <v>3.0</v>
      </c>
      <c r="G117" s="42"/>
      <c r="I117" s="39" t="s">
        <v>321</v>
      </c>
      <c r="J117" s="17"/>
      <c r="K117" s="4" t="s">
        <v>78</v>
      </c>
      <c r="L117" s="4" t="s">
        <v>78</v>
      </c>
      <c r="M117" s="4">
        <v>1.0</v>
      </c>
      <c r="N117" s="65" t="s">
        <v>322</v>
      </c>
      <c r="P117" s="39" t="s">
        <v>283</v>
      </c>
      <c r="Q117" s="17"/>
      <c r="R117" s="40" t="s">
        <v>87</v>
      </c>
      <c r="S117" s="40" t="s">
        <v>292</v>
      </c>
      <c r="T117" s="40">
        <v>1.0</v>
      </c>
      <c r="U117" s="40"/>
    </row>
    <row r="118" ht="15.75" customHeight="1">
      <c r="B118" s="32" t="s">
        <v>38</v>
      </c>
      <c r="C118" s="17"/>
      <c r="D118" s="40"/>
      <c r="E118" s="40"/>
      <c r="F118" s="40">
        <f>SUM(F93:F117)</f>
        <v>37</v>
      </c>
      <c r="G118" s="40"/>
      <c r="I118" s="39" t="s">
        <v>323</v>
      </c>
      <c r="J118" s="17"/>
      <c r="K118" s="4" t="s">
        <v>319</v>
      </c>
      <c r="L118" s="46" t="s">
        <v>78</v>
      </c>
      <c r="M118" s="4">
        <v>1.0</v>
      </c>
      <c r="N118" s="4"/>
      <c r="P118" s="39" t="s">
        <v>180</v>
      </c>
      <c r="Q118" s="17"/>
      <c r="R118" s="40" t="s">
        <v>75</v>
      </c>
      <c r="S118" s="45" t="s">
        <v>295</v>
      </c>
      <c r="T118" s="40">
        <v>1.0</v>
      </c>
      <c r="U118" s="40"/>
    </row>
    <row r="119" ht="15.75" customHeight="1">
      <c r="B119" s="14"/>
      <c r="D119" s="10"/>
      <c r="E119" s="10"/>
      <c r="F119" s="10"/>
      <c r="G119" s="10"/>
      <c r="I119" s="39" t="s">
        <v>324</v>
      </c>
      <c r="J119" s="17"/>
      <c r="K119" s="4" t="s">
        <v>319</v>
      </c>
      <c r="L119" s="46" t="s">
        <v>78</v>
      </c>
      <c r="M119" s="4">
        <v>1.0</v>
      </c>
      <c r="N119" s="4"/>
      <c r="P119" s="39" t="s">
        <v>199</v>
      </c>
      <c r="Q119" s="17"/>
      <c r="R119" s="40" t="s">
        <v>75</v>
      </c>
      <c r="S119" s="40" t="s">
        <v>325</v>
      </c>
      <c r="T119" s="40">
        <v>1.0</v>
      </c>
      <c r="U119" s="99" t="s">
        <v>326</v>
      </c>
    </row>
    <row r="120" ht="15.75" customHeight="1">
      <c r="B120" s="14"/>
      <c r="D120" s="10"/>
      <c r="E120" s="10"/>
      <c r="F120" s="10"/>
      <c r="G120" s="10"/>
      <c r="I120" s="39" t="s">
        <v>327</v>
      </c>
      <c r="J120" s="17"/>
      <c r="K120" s="4"/>
      <c r="L120" s="46"/>
      <c r="M120" s="4"/>
      <c r="N120" s="4" t="s">
        <v>71</v>
      </c>
      <c r="P120" s="39" t="s">
        <v>175</v>
      </c>
      <c r="Q120" s="17"/>
      <c r="R120" s="40" t="s">
        <v>87</v>
      </c>
      <c r="S120" s="40" t="s">
        <v>328</v>
      </c>
      <c r="T120" s="40">
        <v>1.0</v>
      </c>
      <c r="U120" s="40"/>
    </row>
    <row r="121" ht="15.75" customHeight="1">
      <c r="B121" s="28" t="s">
        <v>58</v>
      </c>
      <c r="C121" s="16"/>
      <c r="D121" s="16"/>
      <c r="E121" s="16"/>
      <c r="F121" s="16"/>
      <c r="G121" s="17"/>
      <c r="I121" s="39" t="s">
        <v>329</v>
      </c>
      <c r="J121" s="17"/>
      <c r="K121" s="4" t="s">
        <v>84</v>
      </c>
      <c r="L121" s="46" t="s">
        <v>78</v>
      </c>
      <c r="M121" s="4">
        <v>1.0</v>
      </c>
      <c r="N121" s="4"/>
      <c r="P121" s="39" t="s">
        <v>297</v>
      </c>
      <c r="Q121" s="17"/>
      <c r="R121" s="40" t="s">
        <v>87</v>
      </c>
      <c r="S121" s="40" t="s">
        <v>305</v>
      </c>
      <c r="T121" s="40">
        <v>1.0</v>
      </c>
      <c r="U121" s="40"/>
    </row>
    <row r="122" ht="15.75" customHeight="1">
      <c r="B122" s="28" t="s">
        <v>14</v>
      </c>
      <c r="C122" s="16"/>
      <c r="D122" s="16"/>
      <c r="E122" s="16"/>
      <c r="F122" s="16"/>
      <c r="G122" s="17"/>
      <c r="I122" s="39" t="s">
        <v>330</v>
      </c>
      <c r="J122" s="17"/>
      <c r="K122" s="4"/>
      <c r="L122" s="100"/>
      <c r="M122" s="4"/>
      <c r="N122" s="4" t="s">
        <v>123</v>
      </c>
      <c r="P122" s="39" t="s">
        <v>158</v>
      </c>
      <c r="Q122" s="17"/>
      <c r="R122" s="40" t="s">
        <v>87</v>
      </c>
      <c r="S122" s="40" t="s">
        <v>307</v>
      </c>
      <c r="T122" s="40">
        <v>1.0</v>
      </c>
      <c r="U122" s="40" t="s">
        <v>225</v>
      </c>
    </row>
    <row r="123" ht="15.75" customHeight="1">
      <c r="B123" s="28" t="s">
        <v>60</v>
      </c>
      <c r="C123" s="17"/>
      <c r="D123" s="30" t="s">
        <v>16</v>
      </c>
      <c r="E123" s="30" t="s">
        <v>17</v>
      </c>
      <c r="F123" s="30" t="s">
        <v>18</v>
      </c>
      <c r="G123" s="30" t="s">
        <v>19</v>
      </c>
      <c r="I123" s="39" t="s">
        <v>331</v>
      </c>
      <c r="J123" s="17"/>
      <c r="K123" s="4" t="s">
        <v>234</v>
      </c>
      <c r="L123" s="4" t="s">
        <v>332</v>
      </c>
      <c r="M123" s="4">
        <v>1.0</v>
      </c>
      <c r="N123" s="4"/>
      <c r="P123" s="39" t="s">
        <v>301</v>
      </c>
      <c r="Q123" s="17"/>
      <c r="R123" s="40" t="s">
        <v>87</v>
      </c>
      <c r="S123" s="101" t="s">
        <v>147</v>
      </c>
      <c r="T123" s="40">
        <v>1.0</v>
      </c>
      <c r="U123" s="40"/>
    </row>
    <row r="124" ht="15.75" customHeight="1">
      <c r="B124" s="102" t="s">
        <v>333</v>
      </c>
      <c r="C124" s="17"/>
      <c r="D124" s="103" t="s">
        <v>334</v>
      </c>
      <c r="E124" s="34"/>
      <c r="F124" s="34"/>
      <c r="G124" s="79"/>
      <c r="I124" s="39" t="s">
        <v>335</v>
      </c>
      <c r="J124" s="17"/>
      <c r="K124" s="4" t="s">
        <v>336</v>
      </c>
      <c r="L124" s="4">
        <v>9721.0</v>
      </c>
      <c r="M124" s="4">
        <v>2.0</v>
      </c>
      <c r="N124" s="4"/>
      <c r="P124" s="39" t="s">
        <v>216</v>
      </c>
      <c r="Q124" s="17"/>
      <c r="R124" s="40" t="s">
        <v>87</v>
      </c>
      <c r="S124" s="40" t="s">
        <v>217</v>
      </c>
      <c r="T124" s="40">
        <v>1.0</v>
      </c>
      <c r="U124" s="40"/>
    </row>
    <row r="125" ht="15.75" customHeight="1">
      <c r="B125" s="39" t="s">
        <v>268</v>
      </c>
      <c r="C125" s="17"/>
      <c r="D125" s="40" t="s">
        <v>75</v>
      </c>
      <c r="E125" s="40" t="s">
        <v>280</v>
      </c>
      <c r="F125" s="40">
        <v>2.0</v>
      </c>
      <c r="G125" s="42"/>
      <c r="I125" s="39" t="s">
        <v>337</v>
      </c>
      <c r="J125" s="17"/>
      <c r="K125" s="4" t="s">
        <v>338</v>
      </c>
      <c r="L125" s="4" t="s">
        <v>339</v>
      </c>
      <c r="M125" s="4">
        <v>1.0</v>
      </c>
      <c r="N125" s="4"/>
      <c r="P125" s="39" t="s">
        <v>296</v>
      </c>
      <c r="Q125" s="17"/>
      <c r="R125" s="40" t="s">
        <v>87</v>
      </c>
      <c r="S125" s="40" t="s">
        <v>312</v>
      </c>
      <c r="T125" s="40">
        <v>1.0</v>
      </c>
      <c r="U125" s="40"/>
    </row>
    <row r="126" ht="15.75" customHeight="1">
      <c r="B126" s="39" t="s">
        <v>157</v>
      </c>
      <c r="C126" s="17"/>
      <c r="D126" s="40" t="s">
        <v>75</v>
      </c>
      <c r="E126" s="40" t="s">
        <v>288</v>
      </c>
      <c r="F126" s="40">
        <v>2.0</v>
      </c>
      <c r="G126" s="40"/>
      <c r="I126" s="39" t="s">
        <v>340</v>
      </c>
      <c r="J126" s="17"/>
      <c r="K126" s="4" t="s">
        <v>319</v>
      </c>
      <c r="L126" s="46" t="s">
        <v>78</v>
      </c>
      <c r="M126" s="4">
        <v>1.0</v>
      </c>
      <c r="N126" s="4"/>
      <c r="P126" s="32" t="s">
        <v>38</v>
      </c>
      <c r="Q126" s="17"/>
      <c r="R126" s="40"/>
      <c r="S126" s="40"/>
      <c r="T126" s="40">
        <v>12.0</v>
      </c>
      <c r="U126" s="40"/>
    </row>
    <row r="127" ht="15.75" customHeight="1">
      <c r="B127" s="39" t="s">
        <v>189</v>
      </c>
      <c r="C127" s="17"/>
      <c r="D127" s="40" t="s">
        <v>75</v>
      </c>
      <c r="E127" s="40" t="s">
        <v>341</v>
      </c>
      <c r="F127" s="40">
        <v>1.0</v>
      </c>
      <c r="G127" s="40"/>
      <c r="I127" s="39" t="s">
        <v>342</v>
      </c>
      <c r="J127" s="17"/>
      <c r="K127" s="4" t="s">
        <v>343</v>
      </c>
      <c r="L127" s="4" t="s">
        <v>78</v>
      </c>
      <c r="M127" s="4">
        <v>1.0</v>
      </c>
      <c r="N127" s="4"/>
    </row>
    <row r="128" ht="15.75" customHeight="1">
      <c r="B128" s="39" t="s">
        <v>189</v>
      </c>
      <c r="C128" s="17"/>
      <c r="D128" s="40" t="s">
        <v>234</v>
      </c>
      <c r="E128" s="40" t="s">
        <v>344</v>
      </c>
      <c r="F128" s="40">
        <v>1.0</v>
      </c>
      <c r="G128" s="40"/>
      <c r="I128" s="39" t="s">
        <v>345</v>
      </c>
      <c r="J128" s="17"/>
      <c r="K128" s="4" t="s">
        <v>346</v>
      </c>
      <c r="L128" s="4" t="s">
        <v>78</v>
      </c>
      <c r="M128" s="4">
        <v>1.0</v>
      </c>
      <c r="N128" s="4"/>
    </row>
    <row r="129" ht="15.75" customHeight="1">
      <c r="B129" s="39" t="s">
        <v>283</v>
      </c>
      <c r="C129" s="17"/>
      <c r="D129" s="40" t="s">
        <v>87</v>
      </c>
      <c r="E129" s="40" t="s">
        <v>292</v>
      </c>
      <c r="F129" s="40">
        <v>2.0</v>
      </c>
      <c r="G129" s="40"/>
      <c r="I129" s="39" t="s">
        <v>347</v>
      </c>
      <c r="J129" s="17"/>
      <c r="K129" s="4" t="s">
        <v>348</v>
      </c>
      <c r="L129" s="104">
        <v>45629.0</v>
      </c>
      <c r="M129" s="4">
        <v>2.0</v>
      </c>
      <c r="N129" s="4"/>
    </row>
    <row r="130" ht="15.75" customHeight="1">
      <c r="B130" s="39" t="s">
        <v>180</v>
      </c>
      <c r="C130" s="17"/>
      <c r="D130" s="40" t="s">
        <v>75</v>
      </c>
      <c r="E130" s="45" t="s">
        <v>295</v>
      </c>
      <c r="F130" s="40">
        <v>2.0</v>
      </c>
      <c r="G130" s="40"/>
      <c r="I130" s="39" t="s">
        <v>349</v>
      </c>
      <c r="J130" s="17"/>
      <c r="K130" s="4" t="s">
        <v>222</v>
      </c>
      <c r="L130" s="4" t="s">
        <v>78</v>
      </c>
      <c r="M130" s="4">
        <v>1.0</v>
      </c>
      <c r="N130" s="4"/>
      <c r="P130" s="18" t="s">
        <v>58</v>
      </c>
      <c r="Q130" s="16"/>
      <c r="R130" s="16"/>
      <c r="S130" s="16"/>
      <c r="T130" s="16"/>
      <c r="U130" s="17"/>
    </row>
    <row r="131" ht="15.75" customHeight="1">
      <c r="B131" s="39" t="s">
        <v>199</v>
      </c>
      <c r="C131" s="17"/>
      <c r="D131" s="40" t="s">
        <v>75</v>
      </c>
      <c r="E131" s="40" t="s">
        <v>325</v>
      </c>
      <c r="F131" s="40">
        <v>1.0</v>
      </c>
      <c r="G131" s="95"/>
      <c r="I131" s="39" t="s">
        <v>350</v>
      </c>
      <c r="J131" s="17"/>
      <c r="K131" s="4"/>
      <c r="L131" s="4"/>
      <c r="M131" s="4"/>
      <c r="N131" s="4" t="s">
        <v>212</v>
      </c>
      <c r="P131" s="18" t="s">
        <v>14</v>
      </c>
      <c r="Q131" s="16"/>
      <c r="R131" s="16"/>
      <c r="S131" s="16"/>
      <c r="T131" s="16"/>
      <c r="U131" s="17"/>
    </row>
    <row r="132" ht="15.75" customHeight="1">
      <c r="B132" s="39" t="s">
        <v>199</v>
      </c>
      <c r="C132" s="17"/>
      <c r="D132" s="40" t="s">
        <v>87</v>
      </c>
      <c r="E132" s="40" t="s">
        <v>351</v>
      </c>
      <c r="F132" s="40">
        <v>1.0</v>
      </c>
      <c r="G132" s="95"/>
      <c r="I132" s="39" t="s">
        <v>352</v>
      </c>
      <c r="J132" s="17"/>
      <c r="K132" s="4" t="s">
        <v>168</v>
      </c>
      <c r="L132" s="4" t="s">
        <v>353</v>
      </c>
      <c r="M132" s="4">
        <v>1.0</v>
      </c>
      <c r="N132" s="4"/>
      <c r="P132" s="19"/>
      <c r="Q132" s="19"/>
      <c r="R132" s="19"/>
      <c r="S132" s="19"/>
      <c r="T132" s="19"/>
      <c r="U132" s="19"/>
    </row>
    <row r="133" ht="15.75" customHeight="1">
      <c r="B133" s="39" t="s">
        <v>175</v>
      </c>
      <c r="C133" s="17"/>
      <c r="D133" s="40" t="s">
        <v>87</v>
      </c>
      <c r="E133" s="40" t="s">
        <v>328</v>
      </c>
      <c r="F133" s="40">
        <v>2.0</v>
      </c>
      <c r="G133" s="40"/>
      <c r="I133" s="39" t="s">
        <v>354</v>
      </c>
      <c r="J133" s="17"/>
      <c r="K133" s="4" t="s">
        <v>78</v>
      </c>
      <c r="L133" s="4" t="s">
        <v>78</v>
      </c>
      <c r="M133" s="4">
        <v>1.0</v>
      </c>
      <c r="N133" s="4"/>
      <c r="P133" s="18" t="s">
        <v>60</v>
      </c>
      <c r="Q133" s="17"/>
      <c r="R133" s="19" t="s">
        <v>16</v>
      </c>
      <c r="S133" s="19" t="s">
        <v>17</v>
      </c>
      <c r="T133" s="19" t="s">
        <v>18</v>
      </c>
      <c r="U133" s="19" t="s">
        <v>19</v>
      </c>
    </row>
    <row r="134" ht="15.75" customHeight="1">
      <c r="B134" s="39" t="s">
        <v>297</v>
      </c>
      <c r="C134" s="17"/>
      <c r="D134" s="40" t="s">
        <v>23</v>
      </c>
      <c r="E134" s="40" t="s">
        <v>305</v>
      </c>
      <c r="F134" s="40">
        <v>2.0</v>
      </c>
      <c r="G134" s="40"/>
      <c r="I134" s="32" t="s">
        <v>38</v>
      </c>
      <c r="J134" s="17"/>
      <c r="K134" s="4"/>
      <c r="L134" s="4"/>
      <c r="M134" s="4">
        <f>SUM(M115:M133)</f>
        <v>17</v>
      </c>
      <c r="N134" s="105"/>
      <c r="P134" s="32" t="s">
        <v>355</v>
      </c>
      <c r="Q134" s="17"/>
      <c r="R134" s="98" t="s">
        <v>356</v>
      </c>
      <c r="S134" s="34"/>
      <c r="T134" s="34"/>
      <c r="U134" s="79"/>
    </row>
    <row r="135" ht="15.75" customHeight="1">
      <c r="B135" s="39" t="s">
        <v>158</v>
      </c>
      <c r="C135" s="17"/>
      <c r="D135" s="40" t="s">
        <v>23</v>
      </c>
      <c r="E135" s="40" t="s">
        <v>307</v>
      </c>
      <c r="F135" s="40">
        <v>2.0</v>
      </c>
      <c r="G135" s="40" t="s">
        <v>225</v>
      </c>
      <c r="P135" s="39" t="s">
        <v>268</v>
      </c>
      <c r="Q135" s="17"/>
      <c r="R135" s="40" t="s">
        <v>75</v>
      </c>
      <c r="S135" s="40" t="s">
        <v>280</v>
      </c>
      <c r="T135" s="40">
        <v>1.0</v>
      </c>
      <c r="U135" s="42"/>
    </row>
    <row r="136" ht="15.75" customHeight="1">
      <c r="B136" s="39" t="s">
        <v>301</v>
      </c>
      <c r="C136" s="17"/>
      <c r="D136" s="40" t="s">
        <v>87</v>
      </c>
      <c r="E136" s="101" t="s">
        <v>147</v>
      </c>
      <c r="F136" s="40">
        <v>2.0</v>
      </c>
      <c r="G136" s="40"/>
      <c r="P136" s="39" t="s">
        <v>157</v>
      </c>
      <c r="Q136" s="17"/>
      <c r="R136" s="40" t="s">
        <v>75</v>
      </c>
      <c r="S136" s="40" t="s">
        <v>288</v>
      </c>
      <c r="T136" s="40">
        <v>1.0</v>
      </c>
      <c r="U136" s="40"/>
    </row>
    <row r="137" ht="15.75" customHeight="1">
      <c r="B137" s="39" t="s">
        <v>216</v>
      </c>
      <c r="C137" s="17"/>
      <c r="D137" s="40" t="s">
        <v>87</v>
      </c>
      <c r="E137" s="40" t="s">
        <v>217</v>
      </c>
      <c r="F137" s="40">
        <v>2.0</v>
      </c>
      <c r="G137" s="40"/>
      <c r="P137" s="39" t="s">
        <v>189</v>
      </c>
      <c r="Q137" s="17"/>
      <c r="R137" s="40" t="s">
        <v>118</v>
      </c>
      <c r="S137" s="40" t="s">
        <v>320</v>
      </c>
      <c r="T137" s="40">
        <v>1.0</v>
      </c>
      <c r="U137" s="40"/>
    </row>
    <row r="138" ht="15.75" customHeight="1">
      <c r="B138" s="39" t="s">
        <v>296</v>
      </c>
      <c r="C138" s="17"/>
      <c r="D138" s="40" t="s">
        <v>357</v>
      </c>
      <c r="E138" s="40"/>
      <c r="F138" s="40">
        <v>1.0</v>
      </c>
      <c r="G138" s="40"/>
      <c r="P138" s="39" t="s">
        <v>283</v>
      </c>
      <c r="Q138" s="17"/>
      <c r="R138" s="40" t="s">
        <v>87</v>
      </c>
      <c r="S138" s="40" t="s">
        <v>292</v>
      </c>
      <c r="T138" s="40">
        <v>1.0</v>
      </c>
      <c r="U138" s="40"/>
    </row>
    <row r="139" ht="15.75" customHeight="1">
      <c r="B139" s="39" t="s">
        <v>306</v>
      </c>
      <c r="C139" s="17"/>
      <c r="D139" s="40" t="s">
        <v>222</v>
      </c>
      <c r="E139" s="40"/>
      <c r="F139" s="40">
        <v>2.0</v>
      </c>
      <c r="G139" s="40"/>
      <c r="P139" s="39" t="s">
        <v>180</v>
      </c>
      <c r="Q139" s="17"/>
      <c r="R139" s="40" t="s">
        <v>75</v>
      </c>
      <c r="S139" s="45" t="s">
        <v>295</v>
      </c>
      <c r="T139" s="40">
        <v>1.0</v>
      </c>
      <c r="U139" s="40"/>
    </row>
    <row r="140" ht="15.75" customHeight="1">
      <c r="B140" s="39" t="s">
        <v>94</v>
      </c>
      <c r="C140" s="17"/>
      <c r="D140" s="40" t="s">
        <v>95</v>
      </c>
      <c r="E140" s="45">
        <v>8.065751795E9</v>
      </c>
      <c r="F140" s="40">
        <v>2.0</v>
      </c>
      <c r="G140" s="40"/>
      <c r="H140" s="106"/>
      <c r="I140" s="28" t="s">
        <v>58</v>
      </c>
      <c r="J140" s="16"/>
      <c r="K140" s="16"/>
      <c r="L140" s="16"/>
      <c r="M140" s="16"/>
      <c r="N140" s="17"/>
      <c r="P140" s="39" t="s">
        <v>199</v>
      </c>
      <c r="Q140" s="17"/>
      <c r="R140" s="40" t="s">
        <v>75</v>
      </c>
      <c r="S140" s="40" t="s">
        <v>325</v>
      </c>
      <c r="T140" s="40">
        <v>1.0</v>
      </c>
      <c r="U140" s="40"/>
    </row>
    <row r="141" ht="15.75" customHeight="1">
      <c r="B141" s="39" t="s">
        <v>310</v>
      </c>
      <c r="C141" s="17"/>
      <c r="D141" s="40"/>
      <c r="E141" s="40"/>
      <c r="F141" s="40">
        <v>2.0</v>
      </c>
      <c r="G141" s="40"/>
      <c r="H141" s="106"/>
      <c r="I141" s="28" t="s">
        <v>14</v>
      </c>
      <c r="J141" s="16"/>
      <c r="K141" s="16"/>
      <c r="L141" s="16"/>
      <c r="M141" s="16"/>
      <c r="N141" s="17"/>
      <c r="P141" s="39" t="s">
        <v>175</v>
      </c>
      <c r="Q141" s="17"/>
      <c r="R141" s="40" t="s">
        <v>87</v>
      </c>
      <c r="S141" s="40" t="s">
        <v>328</v>
      </c>
      <c r="T141" s="40">
        <v>1.0</v>
      </c>
      <c r="U141" s="40"/>
    </row>
    <row r="142" ht="15.75" customHeight="1">
      <c r="B142" s="39" t="s">
        <v>311</v>
      </c>
      <c r="C142" s="17"/>
      <c r="D142" s="40"/>
      <c r="E142" s="40"/>
      <c r="F142" s="40">
        <v>2.0</v>
      </c>
      <c r="G142" s="40"/>
      <c r="I142" s="28" t="s">
        <v>60</v>
      </c>
      <c r="J142" s="17"/>
      <c r="K142" s="30" t="s">
        <v>16</v>
      </c>
      <c r="L142" s="30" t="s">
        <v>17</v>
      </c>
      <c r="M142" s="30" t="s">
        <v>18</v>
      </c>
      <c r="N142" s="30" t="s">
        <v>19</v>
      </c>
      <c r="P142" s="39" t="s">
        <v>297</v>
      </c>
      <c r="Q142" s="17"/>
      <c r="R142" s="40" t="s">
        <v>87</v>
      </c>
      <c r="S142" s="40" t="s">
        <v>305</v>
      </c>
      <c r="T142" s="40">
        <v>1.0</v>
      </c>
      <c r="U142" s="40"/>
    </row>
    <row r="143" ht="15.75" customHeight="1">
      <c r="B143" s="39" t="s">
        <v>126</v>
      </c>
      <c r="C143" s="17"/>
      <c r="D143" s="40" t="s">
        <v>87</v>
      </c>
      <c r="E143" s="40"/>
      <c r="F143" s="40">
        <v>1.0</v>
      </c>
      <c r="G143" s="40"/>
      <c r="I143" s="32" t="s">
        <v>358</v>
      </c>
      <c r="J143" s="17"/>
      <c r="K143" s="18" t="s">
        <v>71</v>
      </c>
      <c r="L143" s="16"/>
      <c r="M143" s="16"/>
      <c r="N143" s="17"/>
      <c r="P143" s="39" t="s">
        <v>158</v>
      </c>
      <c r="Q143" s="17"/>
      <c r="R143" s="40" t="s">
        <v>87</v>
      </c>
      <c r="S143" s="40" t="s">
        <v>307</v>
      </c>
      <c r="T143" s="40">
        <v>1.0</v>
      </c>
      <c r="U143" s="40"/>
    </row>
    <row r="144" ht="15.75" customHeight="1">
      <c r="B144" s="39" t="s">
        <v>122</v>
      </c>
      <c r="C144" s="17"/>
      <c r="D144" s="40" t="s">
        <v>359</v>
      </c>
      <c r="E144" s="40"/>
      <c r="F144" s="40">
        <v>1.0</v>
      </c>
      <c r="G144" s="40"/>
      <c r="I144" s="39" t="s">
        <v>150</v>
      </c>
      <c r="J144" s="17"/>
      <c r="K144" s="40" t="s">
        <v>234</v>
      </c>
      <c r="L144" s="40"/>
      <c r="M144" s="40">
        <v>1.0</v>
      </c>
      <c r="N144" s="42"/>
      <c r="P144" s="39" t="s">
        <v>301</v>
      </c>
      <c r="Q144" s="17"/>
      <c r="R144" s="40" t="s">
        <v>87</v>
      </c>
      <c r="S144" s="101" t="s">
        <v>147</v>
      </c>
      <c r="T144" s="40">
        <v>1.0</v>
      </c>
      <c r="U144" s="40"/>
    </row>
    <row r="145" ht="15.75" customHeight="1">
      <c r="B145" s="39" t="s">
        <v>287</v>
      </c>
      <c r="C145" s="17"/>
      <c r="D145" s="40"/>
      <c r="E145" s="40" t="s">
        <v>360</v>
      </c>
      <c r="F145" s="40">
        <v>1.0</v>
      </c>
      <c r="G145" s="40"/>
      <c r="I145" s="39" t="s">
        <v>361</v>
      </c>
      <c r="J145" s="17"/>
      <c r="K145" s="40" t="s">
        <v>84</v>
      </c>
      <c r="L145" s="40" t="s">
        <v>78</v>
      </c>
      <c r="M145" s="40">
        <v>1.0</v>
      </c>
      <c r="N145" s="42"/>
      <c r="P145" s="39" t="s">
        <v>216</v>
      </c>
      <c r="Q145" s="17"/>
      <c r="R145" s="40" t="s">
        <v>87</v>
      </c>
      <c r="S145" s="40" t="s">
        <v>217</v>
      </c>
      <c r="T145" s="40">
        <v>1.0</v>
      </c>
      <c r="U145" s="40"/>
    </row>
    <row r="146" ht="15.75" customHeight="1">
      <c r="B146" s="39" t="s">
        <v>275</v>
      </c>
      <c r="C146" s="17"/>
      <c r="D146" s="40" t="s">
        <v>168</v>
      </c>
      <c r="E146" s="40" t="s">
        <v>362</v>
      </c>
      <c r="F146" s="40">
        <v>2.0</v>
      </c>
      <c r="G146" s="40"/>
      <c r="I146" s="39" t="s">
        <v>74</v>
      </c>
      <c r="J146" s="17"/>
      <c r="K146" s="40" t="s">
        <v>84</v>
      </c>
      <c r="L146" s="40" t="s">
        <v>78</v>
      </c>
      <c r="M146" s="40">
        <v>1.0</v>
      </c>
      <c r="N146" s="42"/>
      <c r="P146" s="39" t="s">
        <v>296</v>
      </c>
      <c r="Q146" s="17"/>
      <c r="R146" s="40" t="s">
        <v>87</v>
      </c>
      <c r="S146" s="40" t="s">
        <v>312</v>
      </c>
      <c r="T146" s="40">
        <v>1.0</v>
      </c>
      <c r="U146" s="40"/>
    </row>
    <row r="147" ht="15.75" customHeight="1">
      <c r="B147" s="39" t="s">
        <v>272</v>
      </c>
      <c r="C147" s="17"/>
      <c r="D147" s="40"/>
      <c r="E147" s="40"/>
      <c r="F147" s="40">
        <v>2.0</v>
      </c>
      <c r="G147" s="40"/>
      <c r="I147" s="39" t="s">
        <v>175</v>
      </c>
      <c r="J147" s="17"/>
      <c r="K147" s="40" t="s">
        <v>84</v>
      </c>
      <c r="L147" s="40" t="s">
        <v>78</v>
      </c>
      <c r="M147" s="40">
        <v>1.0</v>
      </c>
      <c r="N147" s="42"/>
      <c r="P147" s="32" t="s">
        <v>38</v>
      </c>
      <c r="Q147" s="17"/>
      <c r="R147" s="40"/>
      <c r="S147" s="40"/>
      <c r="T147" s="40">
        <v>12.0</v>
      </c>
      <c r="U147" s="40"/>
    </row>
    <row r="148" ht="15.75" customHeight="1">
      <c r="B148" s="39" t="s">
        <v>363</v>
      </c>
      <c r="C148" s="17"/>
      <c r="D148" s="40"/>
      <c r="E148" s="40"/>
      <c r="F148" s="40">
        <v>2.0</v>
      </c>
      <c r="G148" s="40"/>
      <c r="I148" s="107" t="s">
        <v>364</v>
      </c>
      <c r="J148" s="17"/>
      <c r="K148" s="40" t="s">
        <v>84</v>
      </c>
      <c r="L148" s="40" t="s">
        <v>78</v>
      </c>
      <c r="M148" s="40">
        <v>1.0</v>
      </c>
      <c r="N148" s="42"/>
    </row>
    <row r="149" ht="15.75" customHeight="1">
      <c r="B149" s="39" t="s">
        <v>365</v>
      </c>
      <c r="C149" s="17"/>
      <c r="D149" s="108"/>
      <c r="E149" s="108"/>
      <c r="F149" s="109">
        <v>1.0</v>
      </c>
      <c r="G149" s="108"/>
      <c r="I149" s="39" t="s">
        <v>366</v>
      </c>
      <c r="J149" s="17"/>
      <c r="K149" s="40"/>
      <c r="L149" s="40"/>
      <c r="M149" s="40">
        <v>1.0</v>
      </c>
      <c r="N149" s="42"/>
      <c r="P149" s="8"/>
      <c r="Q149" s="8"/>
      <c r="R149" s="8"/>
      <c r="S149" s="8"/>
      <c r="T149" s="8"/>
      <c r="U149" s="8"/>
    </row>
    <row r="150" ht="15.75" customHeight="1">
      <c r="B150" s="87" t="s">
        <v>192</v>
      </c>
      <c r="C150" s="17"/>
      <c r="D150" s="108"/>
      <c r="E150" s="108"/>
      <c r="F150" s="109">
        <v>2.0</v>
      </c>
      <c r="G150" s="108"/>
      <c r="I150" s="39" t="s">
        <v>367</v>
      </c>
      <c r="J150" s="17"/>
      <c r="K150" s="40" t="s">
        <v>87</v>
      </c>
      <c r="L150" s="40" t="s">
        <v>78</v>
      </c>
      <c r="M150" s="40">
        <v>1.0</v>
      </c>
      <c r="N150" s="42"/>
      <c r="P150" s="18" t="s">
        <v>58</v>
      </c>
      <c r="Q150" s="16"/>
      <c r="R150" s="16"/>
      <c r="S150" s="16"/>
      <c r="T150" s="16"/>
      <c r="U150" s="17"/>
    </row>
    <row r="151" ht="15.75" customHeight="1">
      <c r="B151" s="87" t="s">
        <v>368</v>
      </c>
      <c r="C151" s="17"/>
      <c r="D151" s="108"/>
      <c r="E151" s="108"/>
      <c r="F151" s="108">
        <v>2.0</v>
      </c>
      <c r="G151" s="108"/>
      <c r="I151" s="39" t="s">
        <v>199</v>
      </c>
      <c r="J151" s="17"/>
      <c r="K151" s="40" t="s">
        <v>84</v>
      </c>
      <c r="L151" s="40"/>
      <c r="M151" s="40">
        <v>1.0</v>
      </c>
      <c r="N151" s="42"/>
      <c r="P151" s="18" t="s">
        <v>14</v>
      </c>
      <c r="Q151" s="16"/>
      <c r="R151" s="16"/>
      <c r="S151" s="16"/>
      <c r="T151" s="16"/>
      <c r="U151" s="17"/>
    </row>
    <row r="152" ht="15.75" customHeight="1">
      <c r="B152" s="20" t="s">
        <v>38</v>
      </c>
      <c r="C152" s="17"/>
      <c r="D152" s="4"/>
      <c r="E152" s="4"/>
      <c r="F152" s="4">
        <f>SUM(F125:F151)</f>
        <v>45</v>
      </c>
      <c r="G152" s="4"/>
      <c r="I152" s="39" t="s">
        <v>369</v>
      </c>
      <c r="J152" s="17"/>
      <c r="K152" s="40" t="s">
        <v>84</v>
      </c>
      <c r="L152" s="40" t="s">
        <v>78</v>
      </c>
      <c r="M152" s="40">
        <v>1.0</v>
      </c>
      <c r="N152" s="42"/>
      <c r="P152" s="18" t="s">
        <v>60</v>
      </c>
      <c r="Q152" s="17"/>
      <c r="R152" s="19" t="s">
        <v>16</v>
      </c>
      <c r="S152" s="19" t="s">
        <v>17</v>
      </c>
      <c r="T152" s="19" t="s">
        <v>18</v>
      </c>
      <c r="U152" s="19" t="s">
        <v>19</v>
      </c>
    </row>
    <row r="153" ht="15.75" customHeight="1">
      <c r="I153" s="53" t="s">
        <v>370</v>
      </c>
      <c r="J153" s="17"/>
      <c r="K153" s="40" t="s">
        <v>371</v>
      </c>
      <c r="L153" s="40"/>
      <c r="M153" s="40">
        <v>2.0</v>
      </c>
      <c r="N153" s="42"/>
      <c r="P153" s="32" t="s">
        <v>372</v>
      </c>
      <c r="Q153" s="17"/>
      <c r="R153" s="18" t="s">
        <v>373</v>
      </c>
      <c r="S153" s="16"/>
      <c r="T153" s="16"/>
      <c r="U153" s="17"/>
    </row>
    <row r="154" ht="15.75" customHeight="1">
      <c r="I154" s="39" t="s">
        <v>374</v>
      </c>
      <c r="J154" s="17"/>
      <c r="K154" s="40" t="s">
        <v>84</v>
      </c>
      <c r="L154" s="40" t="s">
        <v>78</v>
      </c>
      <c r="M154" s="40">
        <v>1.0</v>
      </c>
      <c r="N154" s="42"/>
      <c r="P154" s="39" t="s">
        <v>268</v>
      </c>
      <c r="Q154" s="17"/>
      <c r="R154" s="40" t="s">
        <v>75</v>
      </c>
      <c r="S154" s="40" t="s">
        <v>280</v>
      </c>
      <c r="T154" s="40">
        <v>1.0</v>
      </c>
      <c r="U154" s="42"/>
    </row>
    <row r="155" ht="15.75" customHeight="1">
      <c r="B155" s="28" t="s">
        <v>58</v>
      </c>
      <c r="C155" s="16"/>
      <c r="D155" s="16"/>
      <c r="E155" s="16"/>
      <c r="F155" s="16"/>
      <c r="G155" s="17"/>
      <c r="I155" s="39" t="s">
        <v>375</v>
      </c>
      <c r="J155" s="17"/>
      <c r="K155" s="40" t="s">
        <v>78</v>
      </c>
      <c r="L155" s="40" t="s">
        <v>78</v>
      </c>
      <c r="M155" s="40">
        <v>1.0</v>
      </c>
      <c r="N155" s="42"/>
      <c r="P155" s="39" t="s">
        <v>157</v>
      </c>
      <c r="Q155" s="17"/>
      <c r="R155" s="40" t="s">
        <v>75</v>
      </c>
      <c r="S155" s="40" t="s">
        <v>288</v>
      </c>
      <c r="T155" s="40">
        <v>1.0</v>
      </c>
      <c r="U155" s="40"/>
    </row>
    <row r="156" ht="15.75" customHeight="1">
      <c r="B156" s="28" t="s">
        <v>14</v>
      </c>
      <c r="C156" s="16"/>
      <c r="D156" s="16"/>
      <c r="E156" s="16"/>
      <c r="F156" s="16"/>
      <c r="G156" s="17"/>
      <c r="I156" s="39" t="s">
        <v>376</v>
      </c>
      <c r="J156" s="17"/>
      <c r="K156" s="40" t="s">
        <v>222</v>
      </c>
      <c r="L156" s="40" t="s">
        <v>78</v>
      </c>
      <c r="M156" s="40">
        <v>1.0</v>
      </c>
      <c r="N156" s="42"/>
      <c r="P156" s="39" t="s">
        <v>189</v>
      </c>
      <c r="Q156" s="17"/>
      <c r="R156" s="40" t="s">
        <v>118</v>
      </c>
      <c r="S156" s="40" t="s">
        <v>377</v>
      </c>
      <c r="T156" s="40">
        <v>1.0</v>
      </c>
      <c r="U156" s="40"/>
    </row>
    <row r="157" ht="15.75" customHeight="1">
      <c r="B157" s="28" t="s">
        <v>60</v>
      </c>
      <c r="C157" s="17"/>
      <c r="D157" s="30" t="s">
        <v>16</v>
      </c>
      <c r="E157" s="30" t="s">
        <v>17</v>
      </c>
      <c r="F157" s="30" t="s">
        <v>18</v>
      </c>
      <c r="G157" s="30" t="s">
        <v>19</v>
      </c>
      <c r="I157" s="39" t="s">
        <v>101</v>
      </c>
      <c r="J157" s="17"/>
      <c r="K157" s="40" t="s">
        <v>378</v>
      </c>
      <c r="L157" s="40"/>
      <c r="M157" s="40">
        <v>1.0</v>
      </c>
      <c r="N157" s="110"/>
      <c r="P157" s="39" t="s">
        <v>283</v>
      </c>
      <c r="Q157" s="17"/>
      <c r="R157" s="40" t="s">
        <v>87</v>
      </c>
      <c r="S157" s="40" t="s">
        <v>292</v>
      </c>
      <c r="T157" s="40">
        <v>1.0</v>
      </c>
      <c r="U157" s="40"/>
    </row>
    <row r="158" ht="15.75" customHeight="1">
      <c r="B158" s="102" t="s">
        <v>379</v>
      </c>
      <c r="C158" s="17"/>
      <c r="D158" s="103" t="s">
        <v>380</v>
      </c>
      <c r="E158" s="34"/>
      <c r="F158" s="34"/>
      <c r="G158" s="79"/>
      <c r="I158" s="39" t="s">
        <v>213</v>
      </c>
      <c r="J158" s="17"/>
      <c r="K158" s="40" t="s">
        <v>378</v>
      </c>
      <c r="L158" s="40" t="s">
        <v>78</v>
      </c>
      <c r="M158" s="40">
        <v>1.0</v>
      </c>
      <c r="N158" s="4"/>
      <c r="P158" s="39" t="s">
        <v>180</v>
      </c>
      <c r="Q158" s="17"/>
      <c r="R158" s="40" t="s">
        <v>75</v>
      </c>
      <c r="S158" s="45" t="s">
        <v>295</v>
      </c>
      <c r="T158" s="40">
        <v>1.0</v>
      </c>
      <c r="U158" s="40"/>
    </row>
    <row r="159" ht="15.75" customHeight="1">
      <c r="B159" s="39" t="s">
        <v>268</v>
      </c>
      <c r="C159" s="17"/>
      <c r="D159" s="40" t="s">
        <v>75</v>
      </c>
      <c r="E159" s="40" t="s">
        <v>280</v>
      </c>
      <c r="F159" s="40">
        <v>2.0</v>
      </c>
      <c r="G159" s="42"/>
      <c r="I159" s="39" t="s">
        <v>185</v>
      </c>
      <c r="J159" s="17"/>
      <c r="K159" s="40" t="s">
        <v>378</v>
      </c>
      <c r="L159" s="40" t="s">
        <v>78</v>
      </c>
      <c r="M159" s="40">
        <v>1.0</v>
      </c>
      <c r="N159" s="42"/>
      <c r="P159" s="39" t="s">
        <v>199</v>
      </c>
      <c r="Q159" s="17"/>
      <c r="R159" s="40" t="s">
        <v>75</v>
      </c>
      <c r="S159" s="40" t="s">
        <v>325</v>
      </c>
      <c r="T159" s="40">
        <v>1.0</v>
      </c>
      <c r="U159" s="40"/>
    </row>
    <row r="160" ht="15.75" customHeight="1">
      <c r="B160" s="39" t="s">
        <v>157</v>
      </c>
      <c r="C160" s="17"/>
      <c r="D160" s="40" t="s">
        <v>75</v>
      </c>
      <c r="E160" s="40" t="s">
        <v>288</v>
      </c>
      <c r="F160" s="40">
        <v>2.0</v>
      </c>
      <c r="G160" s="40"/>
      <c r="I160" s="39" t="s">
        <v>381</v>
      </c>
      <c r="J160" s="17"/>
      <c r="K160" s="40" t="s">
        <v>378</v>
      </c>
      <c r="L160" s="40" t="s">
        <v>78</v>
      </c>
      <c r="M160" s="40">
        <v>1.0</v>
      </c>
      <c r="N160" s="42"/>
      <c r="P160" s="39" t="s">
        <v>175</v>
      </c>
      <c r="Q160" s="17"/>
      <c r="R160" s="40" t="s">
        <v>87</v>
      </c>
      <c r="S160" s="40" t="s">
        <v>328</v>
      </c>
      <c r="T160" s="40">
        <v>1.0</v>
      </c>
      <c r="U160" s="40"/>
    </row>
    <row r="161" ht="15.75" customHeight="1">
      <c r="B161" s="39" t="s">
        <v>189</v>
      </c>
      <c r="C161" s="17"/>
      <c r="D161" s="40" t="s">
        <v>234</v>
      </c>
      <c r="E161" s="40" t="s">
        <v>382</v>
      </c>
      <c r="F161" s="40">
        <v>1.0</v>
      </c>
      <c r="G161" s="40"/>
      <c r="I161" s="20" t="s">
        <v>256</v>
      </c>
      <c r="J161" s="17"/>
      <c r="K161" s="40"/>
      <c r="L161" s="4"/>
      <c r="M161" s="40">
        <f>SUM(M142:M160)</f>
        <v>18</v>
      </c>
      <c r="N161" s="42"/>
      <c r="P161" s="39" t="s">
        <v>297</v>
      </c>
      <c r="Q161" s="17"/>
      <c r="R161" s="40" t="s">
        <v>87</v>
      </c>
      <c r="S161" s="40" t="s">
        <v>305</v>
      </c>
      <c r="T161" s="40">
        <v>1.0</v>
      </c>
      <c r="U161" s="40"/>
    </row>
    <row r="162" ht="15.75" customHeight="1">
      <c r="B162" s="39" t="s">
        <v>283</v>
      </c>
      <c r="C162" s="17"/>
      <c r="D162" s="40" t="s">
        <v>87</v>
      </c>
      <c r="E162" s="40" t="s">
        <v>292</v>
      </c>
      <c r="F162" s="40">
        <v>2.0</v>
      </c>
      <c r="G162" s="40"/>
      <c r="P162" s="39" t="s">
        <v>158</v>
      </c>
      <c r="Q162" s="17"/>
      <c r="R162" s="40" t="s">
        <v>87</v>
      </c>
      <c r="S162" s="40" t="s">
        <v>307</v>
      </c>
      <c r="T162" s="40">
        <v>1.0</v>
      </c>
      <c r="U162" s="40"/>
    </row>
    <row r="163" ht="15.75" customHeight="1">
      <c r="B163" s="39" t="s">
        <v>180</v>
      </c>
      <c r="C163" s="17"/>
      <c r="D163" s="40" t="s">
        <v>75</v>
      </c>
      <c r="E163" s="45" t="s">
        <v>295</v>
      </c>
      <c r="F163" s="40">
        <v>2.0</v>
      </c>
      <c r="G163" s="40"/>
      <c r="P163" s="39" t="s">
        <v>301</v>
      </c>
      <c r="Q163" s="17"/>
      <c r="R163" s="40" t="s">
        <v>87</v>
      </c>
      <c r="S163" s="101" t="s">
        <v>147</v>
      </c>
      <c r="T163" s="40">
        <v>1.0</v>
      </c>
      <c r="U163" s="40"/>
    </row>
    <row r="164" ht="15.75" customHeight="1">
      <c r="B164" s="39" t="s">
        <v>199</v>
      </c>
      <c r="C164" s="17"/>
      <c r="D164" s="40" t="s">
        <v>234</v>
      </c>
      <c r="E164" s="40"/>
      <c r="F164" s="40">
        <v>2.0</v>
      </c>
      <c r="G164" s="95"/>
      <c r="P164" s="39" t="s">
        <v>216</v>
      </c>
      <c r="Q164" s="17"/>
      <c r="R164" s="40" t="s">
        <v>87</v>
      </c>
      <c r="S164" s="40" t="s">
        <v>217</v>
      </c>
      <c r="T164" s="40">
        <v>1.0</v>
      </c>
      <c r="U164" s="40"/>
    </row>
    <row r="165" ht="15.75" customHeight="1">
      <c r="B165" s="39" t="s">
        <v>175</v>
      </c>
      <c r="C165" s="17"/>
      <c r="D165" s="40" t="s">
        <v>87</v>
      </c>
      <c r="E165" s="40"/>
      <c r="F165" s="40">
        <v>2.0</v>
      </c>
      <c r="G165" s="40"/>
      <c r="P165" s="39" t="s">
        <v>296</v>
      </c>
      <c r="Q165" s="17"/>
      <c r="R165" s="40" t="s">
        <v>87</v>
      </c>
      <c r="S165" s="40" t="s">
        <v>312</v>
      </c>
      <c r="T165" s="40">
        <v>1.0</v>
      </c>
      <c r="U165" s="40"/>
    </row>
    <row r="166" ht="15.75" customHeight="1">
      <c r="B166" s="39" t="s">
        <v>297</v>
      </c>
      <c r="C166" s="17"/>
      <c r="D166" s="40" t="s">
        <v>87</v>
      </c>
      <c r="E166" s="40" t="s">
        <v>305</v>
      </c>
      <c r="F166" s="40">
        <v>2.0</v>
      </c>
      <c r="G166" s="40"/>
      <c r="P166" s="32" t="s">
        <v>38</v>
      </c>
      <c r="Q166" s="17"/>
      <c r="R166" s="40"/>
      <c r="S166" s="40"/>
      <c r="T166" s="40">
        <v>12.0</v>
      </c>
      <c r="U166" s="40"/>
    </row>
    <row r="167" ht="15.75" customHeight="1">
      <c r="B167" s="39" t="s">
        <v>158</v>
      </c>
      <c r="C167" s="17"/>
      <c r="D167" s="40" t="s">
        <v>87</v>
      </c>
      <c r="E167" s="40" t="s">
        <v>307</v>
      </c>
      <c r="F167" s="40">
        <v>2.0</v>
      </c>
      <c r="G167" s="40" t="s">
        <v>225</v>
      </c>
      <c r="I167" s="28" t="s">
        <v>58</v>
      </c>
      <c r="J167" s="16"/>
      <c r="K167" s="16"/>
      <c r="L167" s="16"/>
      <c r="M167" s="16"/>
      <c r="N167" s="17"/>
    </row>
    <row r="168" ht="15.75" customHeight="1">
      <c r="B168" s="39" t="s">
        <v>301</v>
      </c>
      <c r="C168" s="17"/>
      <c r="D168" s="40" t="s">
        <v>87</v>
      </c>
      <c r="E168" s="101" t="s">
        <v>147</v>
      </c>
      <c r="F168" s="40">
        <v>2.0</v>
      </c>
      <c r="G168" s="40"/>
      <c r="I168" s="28" t="s">
        <v>14</v>
      </c>
      <c r="J168" s="16"/>
      <c r="K168" s="16"/>
      <c r="L168" s="16"/>
      <c r="M168" s="16"/>
      <c r="N168" s="17"/>
      <c r="P168" s="37" t="s">
        <v>58</v>
      </c>
      <c r="Q168" s="16"/>
      <c r="R168" s="16"/>
      <c r="S168" s="16"/>
      <c r="T168" s="16"/>
      <c r="U168" s="17"/>
    </row>
    <row r="169" ht="15.75" customHeight="1">
      <c r="B169" s="39" t="s">
        <v>216</v>
      </c>
      <c r="C169" s="17"/>
      <c r="D169" s="40" t="s">
        <v>87</v>
      </c>
      <c r="E169" s="40" t="s">
        <v>217</v>
      </c>
      <c r="F169" s="40">
        <v>2.0</v>
      </c>
      <c r="G169" s="40"/>
      <c r="I169" s="28" t="s">
        <v>60</v>
      </c>
      <c r="J169" s="17"/>
      <c r="K169" s="30" t="s">
        <v>16</v>
      </c>
      <c r="L169" s="30" t="s">
        <v>17</v>
      </c>
      <c r="M169" s="30" t="s">
        <v>18</v>
      </c>
      <c r="N169" s="30" t="s">
        <v>19</v>
      </c>
      <c r="P169" s="37" t="s">
        <v>14</v>
      </c>
      <c r="Q169" s="16"/>
      <c r="R169" s="16"/>
      <c r="S169" s="16"/>
      <c r="T169" s="16"/>
      <c r="U169" s="17"/>
    </row>
    <row r="170" ht="15.75" customHeight="1">
      <c r="B170" s="39" t="s">
        <v>296</v>
      </c>
      <c r="C170" s="17"/>
      <c r="D170" s="40" t="s">
        <v>87</v>
      </c>
      <c r="E170" s="40" t="s">
        <v>312</v>
      </c>
      <c r="F170" s="40">
        <v>1.0</v>
      </c>
      <c r="G170" s="40"/>
      <c r="I170" s="32" t="s">
        <v>383</v>
      </c>
      <c r="J170" s="17"/>
      <c r="K170" s="18" t="s">
        <v>71</v>
      </c>
      <c r="L170" s="16"/>
      <c r="M170" s="16"/>
      <c r="N170" s="17"/>
      <c r="P170" s="37" t="s">
        <v>60</v>
      </c>
      <c r="Q170" s="17"/>
      <c r="R170" s="38" t="s">
        <v>16</v>
      </c>
      <c r="S170" s="38" t="s">
        <v>17</v>
      </c>
      <c r="T170" s="38" t="s">
        <v>18</v>
      </c>
      <c r="U170" s="38" t="s">
        <v>19</v>
      </c>
    </row>
    <row r="171" ht="15.75" customHeight="1">
      <c r="B171" s="39" t="s">
        <v>306</v>
      </c>
      <c r="C171" s="17"/>
      <c r="D171" s="40" t="s">
        <v>222</v>
      </c>
      <c r="E171" s="40"/>
      <c r="F171" s="40">
        <v>2.0</v>
      </c>
      <c r="G171" s="40"/>
      <c r="I171" s="39" t="s">
        <v>150</v>
      </c>
      <c r="J171" s="17"/>
      <c r="K171" s="40" t="s">
        <v>234</v>
      </c>
      <c r="L171" s="40" t="s">
        <v>159</v>
      </c>
      <c r="M171" s="40">
        <v>1.0</v>
      </c>
      <c r="N171" s="42"/>
      <c r="P171" s="111" t="s">
        <v>384</v>
      </c>
      <c r="Q171" s="17"/>
      <c r="R171" s="37" t="s">
        <v>373</v>
      </c>
      <c r="S171" s="16"/>
      <c r="T171" s="16"/>
      <c r="U171" s="17"/>
    </row>
    <row r="172" ht="15.75" customHeight="1">
      <c r="B172" s="39" t="s">
        <v>94</v>
      </c>
      <c r="C172" s="17"/>
      <c r="D172" s="40" t="s">
        <v>95</v>
      </c>
      <c r="E172" s="45">
        <v>8.065751795E9</v>
      </c>
      <c r="F172" s="40">
        <v>2.0</v>
      </c>
      <c r="G172" s="40"/>
      <c r="I172" s="39" t="s">
        <v>361</v>
      </c>
      <c r="J172" s="17"/>
      <c r="K172" s="40" t="s">
        <v>84</v>
      </c>
      <c r="L172" s="40" t="s">
        <v>78</v>
      </c>
      <c r="M172" s="40">
        <v>2.0</v>
      </c>
      <c r="N172" s="42"/>
      <c r="P172" s="87" t="s">
        <v>268</v>
      </c>
      <c r="Q172" s="17"/>
      <c r="R172" s="108" t="s">
        <v>75</v>
      </c>
      <c r="S172" s="108" t="s">
        <v>280</v>
      </c>
      <c r="T172" s="109">
        <v>1.0</v>
      </c>
      <c r="U172" s="91"/>
    </row>
    <row r="173" ht="15.75" customHeight="1">
      <c r="B173" s="39" t="s">
        <v>310</v>
      </c>
      <c r="C173" s="17"/>
      <c r="D173" s="40"/>
      <c r="E173" s="40"/>
      <c r="F173" s="40">
        <v>2.0</v>
      </c>
      <c r="G173" s="40"/>
      <c r="I173" s="39" t="s">
        <v>74</v>
      </c>
      <c r="J173" s="17"/>
      <c r="K173" s="40" t="s">
        <v>84</v>
      </c>
      <c r="L173" s="40" t="s">
        <v>78</v>
      </c>
      <c r="M173" s="40">
        <v>1.0</v>
      </c>
      <c r="N173" s="42"/>
      <c r="P173" s="87" t="s">
        <v>157</v>
      </c>
      <c r="Q173" s="17"/>
      <c r="R173" s="108" t="s">
        <v>75</v>
      </c>
      <c r="S173" s="108" t="s">
        <v>288</v>
      </c>
      <c r="T173" s="109">
        <v>1.0</v>
      </c>
      <c r="U173" s="108"/>
    </row>
    <row r="174" ht="15.75" customHeight="1">
      <c r="B174" s="39" t="s">
        <v>311</v>
      </c>
      <c r="C174" s="17"/>
      <c r="D174" s="40"/>
      <c r="E174" s="40"/>
      <c r="F174" s="40">
        <v>1.0</v>
      </c>
      <c r="G174" s="40" t="s">
        <v>385</v>
      </c>
      <c r="I174" s="39" t="s">
        <v>175</v>
      </c>
      <c r="J174" s="17"/>
      <c r="K174" s="40" t="s">
        <v>84</v>
      </c>
      <c r="L174" s="40" t="s">
        <v>78</v>
      </c>
      <c r="M174" s="40">
        <v>1.0</v>
      </c>
      <c r="N174" s="42"/>
      <c r="P174" s="87" t="s">
        <v>189</v>
      </c>
      <c r="Q174" s="17"/>
      <c r="R174" s="108" t="s">
        <v>118</v>
      </c>
      <c r="S174" s="108" t="s">
        <v>377</v>
      </c>
      <c r="T174" s="109">
        <v>1.0</v>
      </c>
      <c r="U174" s="108"/>
    </row>
    <row r="175" ht="15.75" customHeight="1">
      <c r="B175" s="39" t="s">
        <v>126</v>
      </c>
      <c r="C175" s="17"/>
      <c r="D175" s="40" t="s">
        <v>234</v>
      </c>
      <c r="E175" s="40" t="s">
        <v>314</v>
      </c>
      <c r="F175" s="40">
        <v>1.0</v>
      </c>
      <c r="G175" s="40"/>
      <c r="I175" s="39" t="s">
        <v>364</v>
      </c>
      <c r="J175" s="17"/>
      <c r="K175" s="40" t="s">
        <v>84</v>
      </c>
      <c r="L175" s="40" t="s">
        <v>78</v>
      </c>
      <c r="M175" s="40">
        <v>1.0</v>
      </c>
      <c r="N175" s="42"/>
      <c r="P175" s="87" t="s">
        <v>283</v>
      </c>
      <c r="Q175" s="17"/>
      <c r="R175" s="108" t="s">
        <v>87</v>
      </c>
      <c r="S175" s="108" t="s">
        <v>292</v>
      </c>
      <c r="T175" s="109">
        <v>1.0</v>
      </c>
      <c r="U175" s="108"/>
    </row>
    <row r="176" ht="15.75" customHeight="1">
      <c r="B176" s="39" t="s">
        <v>122</v>
      </c>
      <c r="C176" s="17"/>
      <c r="D176" s="40"/>
      <c r="E176" s="40"/>
      <c r="F176" s="40">
        <v>1.0</v>
      </c>
      <c r="G176" s="40"/>
      <c r="I176" s="39" t="s">
        <v>386</v>
      </c>
      <c r="J176" s="17"/>
      <c r="K176" s="40" t="s">
        <v>84</v>
      </c>
      <c r="L176" s="40" t="s">
        <v>78</v>
      </c>
      <c r="M176" s="40">
        <v>1.0</v>
      </c>
      <c r="N176" s="42"/>
      <c r="P176" s="87" t="s">
        <v>180</v>
      </c>
      <c r="Q176" s="17"/>
      <c r="R176" s="108" t="s">
        <v>75</v>
      </c>
      <c r="S176" s="108" t="s">
        <v>295</v>
      </c>
      <c r="T176" s="109">
        <v>1.0</v>
      </c>
      <c r="U176" s="108"/>
    </row>
    <row r="177" ht="15.75" customHeight="1">
      <c r="B177" s="39" t="s">
        <v>287</v>
      </c>
      <c r="C177" s="17"/>
      <c r="D177" s="40" t="s">
        <v>155</v>
      </c>
      <c r="E177" s="40" t="s">
        <v>387</v>
      </c>
      <c r="F177" s="40">
        <v>1.0</v>
      </c>
      <c r="G177" s="40"/>
      <c r="I177" s="39" t="s">
        <v>367</v>
      </c>
      <c r="J177" s="17"/>
      <c r="K177" s="40" t="s">
        <v>84</v>
      </c>
      <c r="L177" s="40" t="s">
        <v>78</v>
      </c>
      <c r="M177" s="40">
        <v>1.0</v>
      </c>
      <c r="N177" s="42"/>
      <c r="P177" s="87" t="s">
        <v>199</v>
      </c>
      <c r="Q177" s="17"/>
      <c r="R177" s="108" t="s">
        <v>75</v>
      </c>
      <c r="S177" s="108" t="s">
        <v>325</v>
      </c>
      <c r="T177" s="109">
        <v>1.0</v>
      </c>
      <c r="U177" s="108"/>
    </row>
    <row r="178" ht="15.75" customHeight="1">
      <c r="B178" s="39" t="s">
        <v>272</v>
      </c>
      <c r="C178" s="17"/>
      <c r="D178" s="40"/>
      <c r="E178" s="40"/>
      <c r="F178" s="40">
        <v>2.0</v>
      </c>
      <c r="G178" s="40"/>
      <c r="I178" s="39" t="s">
        <v>199</v>
      </c>
      <c r="J178" s="17"/>
      <c r="K178" s="40" t="s">
        <v>87</v>
      </c>
      <c r="L178" s="40" t="s">
        <v>200</v>
      </c>
      <c r="M178" s="40">
        <v>1.0</v>
      </c>
      <c r="N178" s="42"/>
      <c r="P178" s="87" t="s">
        <v>175</v>
      </c>
      <c r="Q178" s="17"/>
      <c r="R178" s="108" t="s">
        <v>87</v>
      </c>
      <c r="S178" s="108" t="s">
        <v>328</v>
      </c>
      <c r="T178" s="109">
        <v>1.0</v>
      </c>
      <c r="U178" s="108"/>
    </row>
    <row r="179" ht="15.75" customHeight="1">
      <c r="B179" s="39" t="s">
        <v>363</v>
      </c>
      <c r="C179" s="17"/>
      <c r="D179" s="40"/>
      <c r="E179" s="40"/>
      <c r="F179" s="40">
        <v>2.0</v>
      </c>
      <c r="G179" s="40"/>
      <c r="I179" s="39" t="s">
        <v>369</v>
      </c>
      <c r="J179" s="17"/>
      <c r="K179" s="40" t="s">
        <v>84</v>
      </c>
      <c r="L179" s="40" t="s">
        <v>78</v>
      </c>
      <c r="M179" s="40">
        <v>1.0</v>
      </c>
      <c r="N179" s="42"/>
      <c r="P179" s="87" t="s">
        <v>297</v>
      </c>
      <c r="Q179" s="17"/>
      <c r="R179" s="108" t="s">
        <v>87</v>
      </c>
      <c r="S179" s="108" t="s">
        <v>305</v>
      </c>
      <c r="T179" s="109">
        <v>1.0</v>
      </c>
      <c r="U179" s="108"/>
    </row>
    <row r="180" ht="15.75" customHeight="1">
      <c r="B180" s="87" t="s">
        <v>192</v>
      </c>
      <c r="C180" s="17"/>
      <c r="D180" s="108"/>
      <c r="E180" s="108"/>
      <c r="F180" s="109">
        <v>2.0</v>
      </c>
      <c r="G180" s="108"/>
      <c r="I180" s="39" t="s">
        <v>388</v>
      </c>
      <c r="J180" s="17"/>
      <c r="K180" s="40" t="s">
        <v>84</v>
      </c>
      <c r="L180" s="40" t="s">
        <v>188</v>
      </c>
      <c r="M180" s="40">
        <v>1.0</v>
      </c>
      <c r="N180" s="42"/>
      <c r="P180" s="87" t="s">
        <v>158</v>
      </c>
      <c r="Q180" s="17"/>
      <c r="R180" s="108" t="s">
        <v>87</v>
      </c>
      <c r="S180" s="108" t="s">
        <v>307</v>
      </c>
      <c r="T180" s="109">
        <v>1.0</v>
      </c>
      <c r="U180" s="108"/>
    </row>
    <row r="181" ht="15.75" customHeight="1">
      <c r="B181" s="87" t="s">
        <v>368</v>
      </c>
      <c r="C181" s="17"/>
      <c r="D181" s="108"/>
      <c r="E181" s="108"/>
      <c r="F181" s="108"/>
      <c r="G181" s="108" t="s">
        <v>123</v>
      </c>
      <c r="I181" s="39" t="s">
        <v>374</v>
      </c>
      <c r="J181" s="17"/>
      <c r="K181" s="40" t="s">
        <v>84</v>
      </c>
      <c r="L181" s="40" t="s">
        <v>78</v>
      </c>
      <c r="M181" s="40">
        <v>1.0</v>
      </c>
      <c r="N181" s="42"/>
      <c r="P181" s="87" t="s">
        <v>301</v>
      </c>
      <c r="Q181" s="17"/>
      <c r="R181" s="108" t="s">
        <v>87</v>
      </c>
      <c r="S181" s="112" t="s">
        <v>147</v>
      </c>
      <c r="T181" s="109">
        <v>1.0</v>
      </c>
      <c r="U181" s="108"/>
    </row>
    <row r="182" ht="15.75" customHeight="1">
      <c r="B182" s="20" t="s">
        <v>38</v>
      </c>
      <c r="C182" s="17"/>
      <c r="D182" s="4"/>
      <c r="E182" s="4"/>
      <c r="F182" s="4">
        <f>SUM(F159:F181)</f>
        <v>38</v>
      </c>
      <c r="G182" s="4"/>
      <c r="I182" s="39" t="s">
        <v>389</v>
      </c>
      <c r="J182" s="17"/>
      <c r="K182" s="40" t="s">
        <v>84</v>
      </c>
      <c r="L182" s="40" t="s">
        <v>78</v>
      </c>
      <c r="M182" s="40">
        <v>1.0</v>
      </c>
      <c r="N182" s="42"/>
      <c r="P182" s="87" t="s">
        <v>216</v>
      </c>
      <c r="Q182" s="17"/>
      <c r="R182" s="108" t="s">
        <v>87</v>
      </c>
      <c r="S182" s="108" t="s">
        <v>217</v>
      </c>
      <c r="T182" s="109">
        <v>1.0</v>
      </c>
      <c r="U182" s="108"/>
    </row>
    <row r="183" ht="15.75" customHeight="1">
      <c r="I183" s="39" t="s">
        <v>390</v>
      </c>
      <c r="J183" s="17"/>
      <c r="K183" s="40" t="s">
        <v>87</v>
      </c>
      <c r="L183" s="40" t="s">
        <v>391</v>
      </c>
      <c r="M183" s="40">
        <v>1.0</v>
      </c>
      <c r="N183" s="42"/>
      <c r="P183" s="87" t="s">
        <v>296</v>
      </c>
      <c r="Q183" s="17"/>
      <c r="R183" s="108" t="s">
        <v>87</v>
      </c>
      <c r="S183" s="108" t="s">
        <v>312</v>
      </c>
      <c r="T183" s="109">
        <v>1.0</v>
      </c>
      <c r="U183" s="108"/>
    </row>
    <row r="184" ht="15.75" customHeight="1">
      <c r="I184" s="39" t="s">
        <v>376</v>
      </c>
      <c r="J184" s="17"/>
      <c r="K184" s="40" t="s">
        <v>222</v>
      </c>
      <c r="L184" s="40" t="s">
        <v>78</v>
      </c>
      <c r="M184" s="40">
        <v>1.0</v>
      </c>
      <c r="N184" s="110"/>
      <c r="P184" s="111" t="s">
        <v>38</v>
      </c>
      <c r="Q184" s="17"/>
      <c r="R184" s="108"/>
      <c r="S184" s="108"/>
      <c r="T184" s="109">
        <v>12.0</v>
      </c>
      <c r="U184" s="108"/>
    </row>
    <row r="185" ht="15.75" customHeight="1">
      <c r="B185" s="28" t="s">
        <v>58</v>
      </c>
      <c r="C185" s="16"/>
      <c r="D185" s="16"/>
      <c r="E185" s="16"/>
      <c r="F185" s="16"/>
      <c r="G185" s="17"/>
      <c r="I185" s="39" t="s">
        <v>361</v>
      </c>
      <c r="J185" s="17"/>
      <c r="K185" s="42" t="s">
        <v>84</v>
      </c>
      <c r="L185" s="40" t="s">
        <v>78</v>
      </c>
      <c r="M185" s="40">
        <v>1.0</v>
      </c>
      <c r="N185" s="4"/>
    </row>
    <row r="186" ht="15.75" customHeight="1">
      <c r="B186" s="28" t="s">
        <v>14</v>
      </c>
      <c r="C186" s="16"/>
      <c r="D186" s="16"/>
      <c r="E186" s="16"/>
      <c r="F186" s="16"/>
      <c r="G186" s="17"/>
      <c r="I186" s="39" t="s">
        <v>101</v>
      </c>
      <c r="J186" s="17"/>
      <c r="K186" s="40" t="s">
        <v>378</v>
      </c>
      <c r="L186" s="40" t="s">
        <v>78</v>
      </c>
      <c r="M186" s="40">
        <v>1.0</v>
      </c>
      <c r="N186" s="42"/>
      <c r="P186" s="18" t="s">
        <v>58</v>
      </c>
      <c r="Q186" s="16"/>
      <c r="R186" s="16"/>
      <c r="S186" s="16"/>
      <c r="T186" s="16"/>
      <c r="U186" s="17"/>
    </row>
    <row r="187" ht="15.75" customHeight="1">
      <c r="B187" s="28" t="s">
        <v>60</v>
      </c>
      <c r="C187" s="17"/>
      <c r="D187" s="30" t="s">
        <v>16</v>
      </c>
      <c r="E187" s="30" t="s">
        <v>17</v>
      </c>
      <c r="F187" s="30" t="s">
        <v>18</v>
      </c>
      <c r="G187" s="30" t="s">
        <v>19</v>
      </c>
      <c r="I187" s="39" t="s">
        <v>213</v>
      </c>
      <c r="J187" s="17"/>
      <c r="K187" s="40" t="s">
        <v>84</v>
      </c>
      <c r="L187" s="40" t="s">
        <v>78</v>
      </c>
      <c r="M187" s="40">
        <v>1.0</v>
      </c>
      <c r="N187" s="42"/>
      <c r="P187" s="18" t="s">
        <v>14</v>
      </c>
      <c r="Q187" s="16"/>
      <c r="R187" s="16"/>
      <c r="S187" s="16"/>
      <c r="T187" s="16"/>
      <c r="U187" s="17"/>
    </row>
    <row r="188" ht="15.75" customHeight="1">
      <c r="B188" s="113" t="s">
        <v>392</v>
      </c>
      <c r="C188" s="17"/>
      <c r="D188" s="98" t="s">
        <v>393</v>
      </c>
      <c r="E188" s="34"/>
      <c r="F188" s="34"/>
      <c r="G188" s="79"/>
      <c r="I188" s="39" t="s">
        <v>247</v>
      </c>
      <c r="J188" s="17"/>
      <c r="K188" s="40" t="s">
        <v>87</v>
      </c>
      <c r="L188" s="40" t="s">
        <v>394</v>
      </c>
      <c r="M188" s="40">
        <v>1.0</v>
      </c>
      <c r="N188" s="42"/>
      <c r="P188" s="18" t="s">
        <v>60</v>
      </c>
      <c r="Q188" s="17"/>
      <c r="R188" s="19" t="s">
        <v>16</v>
      </c>
      <c r="S188" s="19" t="s">
        <v>17</v>
      </c>
      <c r="T188" s="19" t="s">
        <v>18</v>
      </c>
      <c r="U188" s="19" t="s">
        <v>19</v>
      </c>
    </row>
    <row r="189" ht="15.75" customHeight="1">
      <c r="B189" s="41" t="s">
        <v>268</v>
      </c>
      <c r="C189" s="17"/>
      <c r="D189" s="42" t="s">
        <v>75</v>
      </c>
      <c r="E189" s="42" t="s">
        <v>280</v>
      </c>
      <c r="F189" s="42">
        <v>2.0</v>
      </c>
      <c r="G189" s="42"/>
      <c r="I189" s="39" t="s">
        <v>381</v>
      </c>
      <c r="J189" s="17"/>
      <c r="K189" s="40"/>
      <c r="L189" s="40" t="s">
        <v>78</v>
      </c>
      <c r="M189" s="40">
        <v>1.0</v>
      </c>
      <c r="N189" s="42"/>
      <c r="P189" s="32" t="s">
        <v>395</v>
      </c>
      <c r="Q189" s="17"/>
      <c r="R189" s="32"/>
      <c r="S189" s="16"/>
      <c r="T189" s="16"/>
      <c r="U189" s="17"/>
    </row>
    <row r="190" ht="15.75" customHeight="1">
      <c r="B190" s="41" t="s">
        <v>157</v>
      </c>
      <c r="C190" s="17"/>
      <c r="D190" s="42" t="s">
        <v>396</v>
      </c>
      <c r="E190" s="42" t="s">
        <v>397</v>
      </c>
      <c r="F190" s="42">
        <v>2.0</v>
      </c>
      <c r="G190" s="42" t="s">
        <v>398</v>
      </c>
      <c r="I190" s="20" t="s">
        <v>256</v>
      </c>
      <c r="J190" s="17"/>
      <c r="K190" s="4"/>
      <c r="L190" s="4"/>
      <c r="M190" s="4">
        <f>SUM(M171:M189)</f>
        <v>20</v>
      </c>
      <c r="N190" s="4"/>
      <c r="P190" s="39" t="s">
        <v>399</v>
      </c>
      <c r="Q190" s="17"/>
      <c r="R190" s="40" t="s">
        <v>78</v>
      </c>
      <c r="S190" s="40" t="s">
        <v>400</v>
      </c>
      <c r="T190" s="40">
        <v>1.0</v>
      </c>
      <c r="U190" s="42"/>
    </row>
    <row r="191" ht="17.25" customHeight="1">
      <c r="B191" s="41" t="s">
        <v>189</v>
      </c>
      <c r="C191" s="17"/>
      <c r="D191" s="42" t="s">
        <v>75</v>
      </c>
      <c r="E191" s="42" t="s">
        <v>401</v>
      </c>
      <c r="F191" s="42">
        <v>2.0</v>
      </c>
      <c r="G191" s="42"/>
      <c r="P191" s="39" t="s">
        <v>402</v>
      </c>
      <c r="Q191" s="17"/>
      <c r="R191" s="61" t="s">
        <v>78</v>
      </c>
      <c r="S191" s="61" t="s">
        <v>325</v>
      </c>
      <c r="T191" s="40">
        <v>1.0</v>
      </c>
      <c r="U191" s="114" t="s">
        <v>403</v>
      </c>
    </row>
    <row r="192" ht="15.75" customHeight="1">
      <c r="B192" s="41" t="s">
        <v>283</v>
      </c>
      <c r="C192" s="17"/>
      <c r="D192" s="42" t="s">
        <v>87</v>
      </c>
      <c r="E192" s="42" t="s">
        <v>292</v>
      </c>
      <c r="F192" s="42">
        <v>2.0</v>
      </c>
      <c r="G192" s="42"/>
      <c r="P192" s="39" t="s">
        <v>206</v>
      </c>
      <c r="Q192" s="17"/>
      <c r="R192" s="40" t="s">
        <v>87</v>
      </c>
      <c r="S192" s="40" t="s">
        <v>404</v>
      </c>
      <c r="T192" s="40">
        <v>1.0</v>
      </c>
      <c r="U192" s="40"/>
    </row>
    <row r="193" ht="15.75" customHeight="1">
      <c r="B193" s="41" t="s">
        <v>180</v>
      </c>
      <c r="C193" s="17"/>
      <c r="D193" s="42" t="s">
        <v>75</v>
      </c>
      <c r="E193" s="63" t="s">
        <v>295</v>
      </c>
      <c r="F193" s="42">
        <v>2.0</v>
      </c>
      <c r="G193" s="42"/>
      <c r="P193" s="39" t="s">
        <v>405</v>
      </c>
      <c r="Q193" s="17"/>
      <c r="R193" s="40" t="s">
        <v>87</v>
      </c>
      <c r="S193" s="40" t="s">
        <v>404</v>
      </c>
      <c r="T193" s="40">
        <v>1.0</v>
      </c>
      <c r="U193" s="40"/>
    </row>
    <row r="194" ht="15.75" customHeight="1">
      <c r="B194" s="41" t="s">
        <v>199</v>
      </c>
      <c r="C194" s="17"/>
      <c r="D194" s="42" t="s">
        <v>75</v>
      </c>
      <c r="E194" s="42" t="s">
        <v>325</v>
      </c>
      <c r="F194" s="42">
        <v>2.0</v>
      </c>
      <c r="G194" s="95"/>
      <c r="P194" s="39" t="s">
        <v>308</v>
      </c>
      <c r="Q194" s="17"/>
      <c r="R194" s="40" t="s">
        <v>78</v>
      </c>
      <c r="S194" s="40" t="s">
        <v>288</v>
      </c>
      <c r="T194" s="40">
        <v>1.0</v>
      </c>
      <c r="U194" s="40"/>
    </row>
    <row r="195" ht="15.75" customHeight="1">
      <c r="B195" s="41" t="s">
        <v>175</v>
      </c>
      <c r="C195" s="17"/>
      <c r="D195" s="42" t="s">
        <v>87</v>
      </c>
      <c r="E195" s="42" t="s">
        <v>328</v>
      </c>
      <c r="F195" s="42">
        <v>2.0</v>
      </c>
      <c r="G195" s="42"/>
      <c r="P195" s="39" t="s">
        <v>406</v>
      </c>
      <c r="Q195" s="17"/>
      <c r="R195" s="40" t="s">
        <v>87</v>
      </c>
      <c r="S195" s="101" t="s">
        <v>147</v>
      </c>
      <c r="T195" s="40">
        <v>1.0</v>
      </c>
      <c r="U195" s="40"/>
    </row>
    <row r="196" ht="15.75" customHeight="1">
      <c r="B196" s="41" t="s">
        <v>297</v>
      </c>
      <c r="C196" s="17"/>
      <c r="D196" s="42" t="s">
        <v>87</v>
      </c>
      <c r="E196" s="42" t="s">
        <v>305</v>
      </c>
      <c r="F196" s="42">
        <v>2.0</v>
      </c>
      <c r="G196" s="42"/>
      <c r="P196" s="39" t="s">
        <v>407</v>
      </c>
      <c r="Q196" s="17"/>
      <c r="R196" s="40" t="s">
        <v>78</v>
      </c>
      <c r="S196" s="40" t="s">
        <v>408</v>
      </c>
      <c r="T196" s="40">
        <v>1.0</v>
      </c>
      <c r="U196" s="40"/>
    </row>
    <row r="197" ht="15.75" customHeight="1">
      <c r="B197" s="41" t="s">
        <v>158</v>
      </c>
      <c r="C197" s="17"/>
      <c r="D197" s="42" t="s">
        <v>87</v>
      </c>
      <c r="E197" s="42" t="s">
        <v>307</v>
      </c>
      <c r="F197" s="42">
        <v>2.0</v>
      </c>
      <c r="G197" s="42" t="s">
        <v>225</v>
      </c>
      <c r="P197" s="39" t="s">
        <v>409</v>
      </c>
      <c r="Q197" s="17"/>
      <c r="R197" s="40" t="s">
        <v>78</v>
      </c>
      <c r="S197" s="40" t="s">
        <v>410</v>
      </c>
      <c r="T197" s="40">
        <v>1.0</v>
      </c>
      <c r="U197" s="40"/>
    </row>
    <row r="198" ht="15.75" customHeight="1">
      <c r="B198" s="41" t="s">
        <v>301</v>
      </c>
      <c r="C198" s="17"/>
      <c r="D198" s="42" t="s">
        <v>87</v>
      </c>
      <c r="E198" s="59" t="s">
        <v>147</v>
      </c>
      <c r="F198" s="42">
        <v>1.0</v>
      </c>
      <c r="G198" s="42"/>
      <c r="P198" s="39" t="s">
        <v>216</v>
      </c>
      <c r="Q198" s="17"/>
      <c r="R198" s="40" t="s">
        <v>87</v>
      </c>
      <c r="S198" s="40" t="s">
        <v>217</v>
      </c>
      <c r="T198" s="40">
        <v>1.0</v>
      </c>
      <c r="U198" s="40"/>
    </row>
    <row r="199" ht="15.75" customHeight="1">
      <c r="B199" s="41" t="s">
        <v>216</v>
      </c>
      <c r="C199" s="17"/>
      <c r="D199" s="42" t="s">
        <v>87</v>
      </c>
      <c r="E199" s="42" t="s">
        <v>217</v>
      </c>
      <c r="F199" s="42">
        <v>2.0</v>
      </c>
      <c r="G199" s="42"/>
      <c r="P199" s="39" t="s">
        <v>411</v>
      </c>
      <c r="Q199" s="17"/>
      <c r="R199" s="40" t="s">
        <v>87</v>
      </c>
      <c r="S199" s="45">
        <v>5034.0</v>
      </c>
      <c r="T199" s="40">
        <v>1.0</v>
      </c>
      <c r="U199" s="40"/>
    </row>
    <row r="200" ht="15.75" customHeight="1">
      <c r="B200" s="41" t="s">
        <v>296</v>
      </c>
      <c r="C200" s="17"/>
      <c r="D200" s="42" t="s">
        <v>87</v>
      </c>
      <c r="E200" s="42" t="s">
        <v>312</v>
      </c>
      <c r="F200" s="42">
        <v>2.0</v>
      </c>
      <c r="G200" s="42"/>
      <c r="P200" s="39" t="s">
        <v>412</v>
      </c>
      <c r="Q200" s="17"/>
      <c r="R200" s="40" t="s">
        <v>78</v>
      </c>
      <c r="S200" s="40" t="s">
        <v>413</v>
      </c>
      <c r="T200" s="40">
        <v>1.0</v>
      </c>
      <c r="U200" s="40"/>
    </row>
    <row r="201" ht="15.75" customHeight="1">
      <c r="B201" s="41" t="s">
        <v>306</v>
      </c>
      <c r="C201" s="17"/>
      <c r="D201" s="42"/>
      <c r="E201" s="42"/>
      <c r="F201" s="42">
        <v>2.0</v>
      </c>
      <c r="G201" s="42"/>
      <c r="P201" s="39"/>
      <c r="Q201" s="17"/>
      <c r="R201" s="40"/>
      <c r="S201" s="40"/>
      <c r="T201" s="40"/>
      <c r="U201" s="40"/>
    </row>
    <row r="202" ht="15.75" customHeight="1">
      <c r="B202" s="41" t="s">
        <v>94</v>
      </c>
      <c r="C202" s="17"/>
      <c r="D202" s="42" t="s">
        <v>95</v>
      </c>
      <c r="E202" s="63">
        <v>8.065751795E9</v>
      </c>
      <c r="F202" s="42">
        <v>2.0</v>
      </c>
      <c r="G202" s="42"/>
      <c r="P202" s="32" t="s">
        <v>38</v>
      </c>
      <c r="Q202" s="17"/>
      <c r="R202" s="40"/>
      <c r="S202" s="40"/>
      <c r="T202" s="40">
        <f>SUM(T190:T201)</f>
        <v>11</v>
      </c>
      <c r="U202" s="40"/>
    </row>
    <row r="203" ht="15.75" customHeight="1">
      <c r="B203" s="41" t="s">
        <v>310</v>
      </c>
      <c r="C203" s="17"/>
      <c r="D203" s="42" t="s">
        <v>78</v>
      </c>
      <c r="E203" s="42" t="s">
        <v>78</v>
      </c>
      <c r="F203" s="42">
        <v>2.0</v>
      </c>
      <c r="G203" s="42"/>
    </row>
    <row r="204" ht="15.75" customHeight="1">
      <c r="B204" s="41" t="s">
        <v>311</v>
      </c>
      <c r="C204" s="17"/>
      <c r="D204" s="42" t="s">
        <v>78</v>
      </c>
      <c r="E204" s="42" t="s">
        <v>78</v>
      </c>
      <c r="F204" s="42">
        <v>2.0</v>
      </c>
      <c r="G204" s="42"/>
    </row>
    <row r="205" ht="15.75" customHeight="1">
      <c r="B205" s="41" t="s">
        <v>218</v>
      </c>
      <c r="C205" s="17"/>
      <c r="D205" s="42" t="s">
        <v>21</v>
      </c>
      <c r="E205" s="42" t="s">
        <v>21</v>
      </c>
      <c r="F205" s="42">
        <v>0.0</v>
      </c>
      <c r="G205" s="42"/>
      <c r="P205" s="18" t="s">
        <v>58</v>
      </c>
      <c r="Q205" s="16"/>
      <c r="R205" s="16"/>
      <c r="S205" s="16"/>
      <c r="T205" s="16"/>
      <c r="U205" s="17"/>
    </row>
    <row r="206" ht="15.75" customHeight="1">
      <c r="B206" s="41" t="s">
        <v>185</v>
      </c>
      <c r="C206" s="17"/>
      <c r="D206" s="42" t="s">
        <v>78</v>
      </c>
      <c r="E206" s="42" t="s">
        <v>78</v>
      </c>
      <c r="F206" s="42">
        <v>1.0</v>
      </c>
      <c r="G206" s="42"/>
      <c r="P206" s="18" t="s">
        <v>14</v>
      </c>
      <c r="Q206" s="16"/>
      <c r="R206" s="16"/>
      <c r="S206" s="16"/>
      <c r="T206" s="16"/>
      <c r="U206" s="17"/>
    </row>
    <row r="207" ht="15.75" customHeight="1">
      <c r="B207" s="41" t="s">
        <v>414</v>
      </c>
      <c r="C207" s="17"/>
      <c r="D207" s="42"/>
      <c r="E207" s="42"/>
      <c r="F207" s="42">
        <v>3.0</v>
      </c>
      <c r="G207" s="42"/>
      <c r="P207" s="18" t="s">
        <v>60</v>
      </c>
      <c r="Q207" s="17"/>
      <c r="R207" s="19" t="s">
        <v>16</v>
      </c>
      <c r="S207" s="19" t="s">
        <v>17</v>
      </c>
      <c r="T207" s="19" t="s">
        <v>18</v>
      </c>
      <c r="U207" s="19" t="s">
        <v>19</v>
      </c>
    </row>
    <row r="208" ht="15.75" customHeight="1">
      <c r="B208" s="41" t="s">
        <v>192</v>
      </c>
      <c r="C208" s="17"/>
      <c r="D208" s="42" t="s">
        <v>21</v>
      </c>
      <c r="E208" s="42" t="s">
        <v>21</v>
      </c>
      <c r="F208" s="42">
        <v>2.0</v>
      </c>
      <c r="G208" s="42"/>
      <c r="P208" s="32" t="s">
        <v>415</v>
      </c>
      <c r="Q208" s="17"/>
      <c r="R208" s="98" t="s">
        <v>416</v>
      </c>
      <c r="S208" s="34"/>
      <c r="T208" s="34"/>
      <c r="U208" s="79"/>
    </row>
    <row r="209" ht="15.75" customHeight="1">
      <c r="B209" s="115" t="s">
        <v>368</v>
      </c>
      <c r="C209" s="17"/>
      <c r="D209" s="91"/>
      <c r="E209" s="91"/>
      <c r="F209" s="91">
        <v>0.0</v>
      </c>
      <c r="G209" s="91"/>
      <c r="P209" s="39" t="s">
        <v>189</v>
      </c>
      <c r="Q209" s="17"/>
      <c r="R209" s="40" t="s">
        <v>118</v>
      </c>
      <c r="S209" s="40" t="s">
        <v>320</v>
      </c>
      <c r="T209" s="40">
        <v>0.0</v>
      </c>
      <c r="U209" s="61" t="s">
        <v>417</v>
      </c>
    </row>
    <row r="210" ht="15.75" customHeight="1">
      <c r="B210" s="116" t="s">
        <v>38</v>
      </c>
      <c r="C210" s="17"/>
      <c r="D210" s="72"/>
      <c r="E210" s="72"/>
      <c r="F210" s="72">
        <f>SUM(F189:F209)</f>
        <v>37</v>
      </c>
      <c r="G210" s="72"/>
      <c r="P210" s="39" t="s">
        <v>283</v>
      </c>
      <c r="Q210" s="17"/>
      <c r="R210" s="40" t="s">
        <v>87</v>
      </c>
      <c r="S210" s="40" t="s">
        <v>292</v>
      </c>
      <c r="T210" s="40">
        <v>1.0</v>
      </c>
      <c r="U210" s="40"/>
    </row>
    <row r="211" ht="15.75" customHeight="1">
      <c r="B211" s="10"/>
      <c r="D211" s="10"/>
      <c r="E211" s="10"/>
      <c r="F211" s="10"/>
      <c r="G211" s="10"/>
      <c r="P211" s="39" t="s">
        <v>301</v>
      </c>
      <c r="Q211" s="17"/>
      <c r="R211" s="40" t="s">
        <v>87</v>
      </c>
      <c r="S211" s="101" t="s">
        <v>147</v>
      </c>
      <c r="T211" s="40">
        <v>1.0</v>
      </c>
      <c r="U211" s="40"/>
    </row>
    <row r="212" ht="15.75" customHeight="1">
      <c r="B212" s="10"/>
      <c r="D212" s="10"/>
      <c r="E212" s="10"/>
      <c r="F212" s="10"/>
      <c r="G212" s="10"/>
      <c r="P212" s="39" t="s">
        <v>216</v>
      </c>
      <c r="Q212" s="17"/>
      <c r="R212" s="40" t="s">
        <v>87</v>
      </c>
      <c r="S212" s="40" t="s">
        <v>217</v>
      </c>
      <c r="T212" s="40">
        <v>1.0</v>
      </c>
      <c r="U212" s="40"/>
    </row>
    <row r="213" ht="15.75" customHeight="1">
      <c r="B213" s="10"/>
      <c r="D213" s="10"/>
      <c r="E213" s="10"/>
      <c r="F213" s="10"/>
      <c r="G213" s="10"/>
      <c r="P213" s="39" t="s">
        <v>296</v>
      </c>
      <c r="Q213" s="17"/>
      <c r="R213" s="40" t="s">
        <v>87</v>
      </c>
      <c r="S213" s="40" t="s">
        <v>312</v>
      </c>
      <c r="T213" s="40">
        <v>1.0</v>
      </c>
      <c r="U213" s="40"/>
    </row>
    <row r="214" ht="15.75" customHeight="1">
      <c r="B214" s="10"/>
      <c r="D214" s="10"/>
      <c r="E214" s="13"/>
      <c r="F214" s="10"/>
      <c r="G214" s="10"/>
      <c r="P214" s="32" t="s">
        <v>38</v>
      </c>
      <c r="Q214" s="17"/>
      <c r="R214" s="40"/>
      <c r="S214" s="40"/>
      <c r="T214" s="40">
        <v>11.0</v>
      </c>
      <c r="U214" s="40"/>
    </row>
    <row r="215" ht="15.75" customHeight="1"/>
    <row r="216" ht="15.75" customHeight="1"/>
    <row r="217" ht="15.75" customHeight="1">
      <c r="P217" s="18" t="s">
        <v>58</v>
      </c>
      <c r="Q217" s="16"/>
      <c r="R217" s="16"/>
      <c r="S217" s="16"/>
      <c r="T217" s="16"/>
      <c r="U217" s="17"/>
    </row>
    <row r="218" ht="15.75" customHeight="1">
      <c r="P218" s="18" t="s">
        <v>14</v>
      </c>
      <c r="Q218" s="16"/>
      <c r="R218" s="16"/>
      <c r="S218" s="16"/>
      <c r="T218" s="16"/>
      <c r="U218" s="17"/>
    </row>
    <row r="219" ht="15.75" customHeight="1">
      <c r="P219" s="32" t="s">
        <v>418</v>
      </c>
      <c r="Q219" s="17"/>
      <c r="R219" s="33" t="s">
        <v>419</v>
      </c>
      <c r="S219" s="34"/>
      <c r="T219" s="34"/>
      <c r="U219" s="79"/>
    </row>
    <row r="220" ht="15.75" customHeight="1">
      <c r="P220" s="39" t="s">
        <v>268</v>
      </c>
      <c r="Q220" s="17"/>
      <c r="R220" s="40" t="s">
        <v>75</v>
      </c>
      <c r="S220" s="40" t="s">
        <v>280</v>
      </c>
      <c r="T220" s="40">
        <v>1.0</v>
      </c>
      <c r="U220" s="42"/>
    </row>
    <row r="221" ht="15.75" customHeight="1">
      <c r="P221" s="39" t="s">
        <v>157</v>
      </c>
      <c r="Q221" s="17"/>
      <c r="R221" s="40" t="s">
        <v>75</v>
      </c>
      <c r="S221" s="40" t="s">
        <v>288</v>
      </c>
      <c r="T221" s="40">
        <v>1.0</v>
      </c>
      <c r="U221" s="114"/>
    </row>
    <row r="222" ht="15.75" customHeight="1">
      <c r="P222" s="39" t="s">
        <v>189</v>
      </c>
      <c r="Q222" s="17"/>
      <c r="R222" s="40" t="s">
        <v>118</v>
      </c>
      <c r="S222" s="40" t="s">
        <v>377</v>
      </c>
      <c r="T222" s="40">
        <v>0.0</v>
      </c>
      <c r="U222" s="99" t="s">
        <v>420</v>
      </c>
    </row>
    <row r="223" ht="15.75" customHeight="1">
      <c r="P223" s="39" t="s">
        <v>283</v>
      </c>
      <c r="Q223" s="17"/>
      <c r="R223" s="40" t="s">
        <v>87</v>
      </c>
      <c r="S223" s="40" t="s">
        <v>292</v>
      </c>
      <c r="T223" s="40">
        <v>1.0</v>
      </c>
      <c r="U223" s="40"/>
    </row>
    <row r="224" ht="15.75" customHeight="1">
      <c r="P224" s="39" t="s">
        <v>180</v>
      </c>
      <c r="Q224" s="17"/>
      <c r="R224" s="40" t="s">
        <v>75</v>
      </c>
      <c r="S224" s="45" t="s">
        <v>295</v>
      </c>
      <c r="T224" s="40">
        <v>1.0</v>
      </c>
      <c r="U224" s="40"/>
    </row>
    <row r="225" ht="15.75" customHeight="1">
      <c r="P225" s="39" t="s">
        <v>199</v>
      </c>
      <c r="Q225" s="17"/>
      <c r="R225" s="40" t="s">
        <v>75</v>
      </c>
      <c r="S225" s="40" t="s">
        <v>325</v>
      </c>
      <c r="T225" s="40">
        <v>1.0</v>
      </c>
      <c r="U225" s="40"/>
    </row>
    <row r="226" ht="15.75" customHeight="1">
      <c r="P226" s="39" t="s">
        <v>175</v>
      </c>
      <c r="Q226" s="17"/>
      <c r="R226" s="40" t="s">
        <v>87</v>
      </c>
      <c r="S226" s="40" t="s">
        <v>328</v>
      </c>
      <c r="T226" s="40">
        <v>1.0</v>
      </c>
      <c r="U226" s="40"/>
    </row>
    <row r="227" ht="15.75" customHeight="1">
      <c r="P227" s="39" t="s">
        <v>297</v>
      </c>
      <c r="Q227" s="17"/>
      <c r="R227" s="40" t="s">
        <v>87</v>
      </c>
      <c r="S227" s="40" t="s">
        <v>305</v>
      </c>
      <c r="T227" s="40">
        <v>1.0</v>
      </c>
      <c r="U227" s="40"/>
    </row>
    <row r="228" ht="15.75" customHeight="1">
      <c r="P228" s="39" t="s">
        <v>158</v>
      </c>
      <c r="Q228" s="17"/>
      <c r="R228" s="40" t="s">
        <v>87</v>
      </c>
      <c r="S228" s="40" t="s">
        <v>307</v>
      </c>
      <c r="T228" s="40">
        <v>1.0</v>
      </c>
      <c r="U228" s="40"/>
    </row>
    <row r="229" ht="15.75" customHeight="1">
      <c r="P229" s="39" t="s">
        <v>301</v>
      </c>
      <c r="Q229" s="17"/>
      <c r="R229" s="40" t="s">
        <v>87</v>
      </c>
      <c r="S229" s="101" t="s">
        <v>147</v>
      </c>
      <c r="T229" s="40">
        <v>1.0</v>
      </c>
      <c r="U229" s="40"/>
    </row>
    <row r="230" ht="15.75" customHeight="1">
      <c r="P230" s="39" t="s">
        <v>216</v>
      </c>
      <c r="Q230" s="17"/>
      <c r="R230" s="40" t="s">
        <v>87</v>
      </c>
      <c r="S230" s="40" t="s">
        <v>217</v>
      </c>
      <c r="T230" s="40">
        <v>1.0</v>
      </c>
      <c r="U230" s="40"/>
    </row>
    <row r="231" ht="15.75" customHeight="1">
      <c r="P231" s="40"/>
      <c r="Q231" s="40"/>
      <c r="R231" s="40"/>
      <c r="S231" s="40"/>
      <c r="T231" s="40"/>
      <c r="U231" s="40"/>
    </row>
    <row r="232" ht="15.75" customHeight="1">
      <c r="P232" s="39" t="s">
        <v>296</v>
      </c>
      <c r="Q232" s="17"/>
      <c r="R232" s="40" t="s">
        <v>87</v>
      </c>
      <c r="S232" s="40" t="s">
        <v>312</v>
      </c>
      <c r="T232" s="40">
        <v>1.0</v>
      </c>
      <c r="U232" s="40"/>
    </row>
    <row r="233" ht="15.75" customHeight="1">
      <c r="P233" s="32" t="s">
        <v>38</v>
      </c>
      <c r="Q233" s="17"/>
      <c r="R233" s="40"/>
      <c r="S233" s="40"/>
      <c r="T233" s="40">
        <v>11.0</v>
      </c>
      <c r="U233" s="40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</sheetData>
  <mergeCells count="602"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7:G88"/>
    <mergeCell ref="B89:G89"/>
    <mergeCell ref="B90:G90"/>
    <mergeCell ref="B91:C91"/>
    <mergeCell ref="B92:C92"/>
    <mergeCell ref="D92:G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21:G121"/>
    <mergeCell ref="B122:G122"/>
    <mergeCell ref="B123:C123"/>
    <mergeCell ref="B124:C124"/>
    <mergeCell ref="D124:G124"/>
    <mergeCell ref="B125:C125"/>
    <mergeCell ref="B126:C126"/>
    <mergeCell ref="B127:C127"/>
    <mergeCell ref="B128:C128"/>
    <mergeCell ref="B179:C179"/>
    <mergeCell ref="B180:C180"/>
    <mergeCell ref="B181:C181"/>
    <mergeCell ref="B182:C182"/>
    <mergeCell ref="B185:G185"/>
    <mergeCell ref="B186:G186"/>
    <mergeCell ref="B187:C187"/>
    <mergeCell ref="B188:C188"/>
    <mergeCell ref="D188:G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8:C208"/>
    <mergeCell ref="B209:C209"/>
    <mergeCell ref="B210:C210"/>
    <mergeCell ref="B211:C211"/>
    <mergeCell ref="B212:C212"/>
    <mergeCell ref="B213:C213"/>
    <mergeCell ref="B214:C214"/>
    <mergeCell ref="B201:C201"/>
    <mergeCell ref="B202:C202"/>
    <mergeCell ref="B203:C203"/>
    <mergeCell ref="B204:C204"/>
    <mergeCell ref="B205:C205"/>
    <mergeCell ref="B206:C206"/>
    <mergeCell ref="B207:C207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5:G155"/>
    <mergeCell ref="B156:G156"/>
    <mergeCell ref="B157:C157"/>
    <mergeCell ref="D158:G158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I121:J121"/>
    <mergeCell ref="I122:J122"/>
    <mergeCell ref="I123:J123"/>
    <mergeCell ref="I124:J124"/>
    <mergeCell ref="I125:J125"/>
    <mergeCell ref="I126:J126"/>
    <mergeCell ref="I127:J127"/>
    <mergeCell ref="I128:J128"/>
    <mergeCell ref="I129:J129"/>
    <mergeCell ref="I130:J130"/>
    <mergeCell ref="I131:J131"/>
    <mergeCell ref="I132:J132"/>
    <mergeCell ref="I133:J133"/>
    <mergeCell ref="I134:J134"/>
    <mergeCell ref="I146:J146"/>
    <mergeCell ref="I147:J147"/>
    <mergeCell ref="I148:J148"/>
    <mergeCell ref="I149:J149"/>
    <mergeCell ref="I150:J150"/>
    <mergeCell ref="I151:J151"/>
    <mergeCell ref="I152:J152"/>
    <mergeCell ref="I160:J160"/>
    <mergeCell ref="I161:J161"/>
    <mergeCell ref="I153:J153"/>
    <mergeCell ref="I154:J154"/>
    <mergeCell ref="I155:J155"/>
    <mergeCell ref="I156:J156"/>
    <mergeCell ref="I157:J157"/>
    <mergeCell ref="I158:J158"/>
    <mergeCell ref="I159:J159"/>
    <mergeCell ref="I71:J71"/>
    <mergeCell ref="I72:J72"/>
    <mergeCell ref="I73:J73"/>
    <mergeCell ref="I74:J74"/>
    <mergeCell ref="I75:J75"/>
    <mergeCell ref="I78:N78"/>
    <mergeCell ref="I79:N79"/>
    <mergeCell ref="I80:J80"/>
    <mergeCell ref="I81:J81"/>
    <mergeCell ref="K81:N81"/>
    <mergeCell ref="I82:J82"/>
    <mergeCell ref="I83:J83"/>
    <mergeCell ref="I84:J84"/>
    <mergeCell ref="I85:J85"/>
    <mergeCell ref="I86:J86"/>
    <mergeCell ref="I87:J87"/>
    <mergeCell ref="I88:J88"/>
    <mergeCell ref="I89:J89"/>
    <mergeCell ref="I90:J90"/>
    <mergeCell ref="I91:J91"/>
    <mergeCell ref="I92:J92"/>
    <mergeCell ref="I93:J93"/>
    <mergeCell ref="I96:J96"/>
    <mergeCell ref="I97:J97"/>
    <mergeCell ref="I98:J98"/>
    <mergeCell ref="I99:J99"/>
    <mergeCell ref="I101:J101"/>
    <mergeCell ref="I102:J102"/>
    <mergeCell ref="I104:J104"/>
    <mergeCell ref="I105:J105"/>
    <mergeCell ref="I106:J106"/>
    <mergeCell ref="I107:J107"/>
    <mergeCell ref="I112:N112"/>
    <mergeCell ref="I113:N113"/>
    <mergeCell ref="I114:J114"/>
    <mergeCell ref="I115:J115"/>
    <mergeCell ref="K115:N115"/>
    <mergeCell ref="I116:J116"/>
    <mergeCell ref="I117:J117"/>
    <mergeCell ref="I118:J118"/>
    <mergeCell ref="I119:J119"/>
    <mergeCell ref="I120:J120"/>
    <mergeCell ref="I140:N140"/>
    <mergeCell ref="I141:N141"/>
    <mergeCell ref="I142:J142"/>
    <mergeCell ref="I143:J143"/>
    <mergeCell ref="K143:N143"/>
    <mergeCell ref="I144:J144"/>
    <mergeCell ref="I145:J145"/>
    <mergeCell ref="P178:Q178"/>
    <mergeCell ref="P179:Q179"/>
    <mergeCell ref="P180:Q180"/>
    <mergeCell ref="P181:Q181"/>
    <mergeCell ref="P182:Q182"/>
    <mergeCell ref="P183:Q183"/>
    <mergeCell ref="P184:Q184"/>
    <mergeCell ref="P188:Q188"/>
    <mergeCell ref="P189:Q189"/>
    <mergeCell ref="P191:Q191"/>
    <mergeCell ref="P192:Q192"/>
    <mergeCell ref="P193:Q193"/>
    <mergeCell ref="P194:Q194"/>
    <mergeCell ref="P195:Q195"/>
    <mergeCell ref="P196:Q196"/>
    <mergeCell ref="P197:Q197"/>
    <mergeCell ref="P198:Q198"/>
    <mergeCell ref="P199:Q199"/>
    <mergeCell ref="P200:Q200"/>
    <mergeCell ref="P201:Q201"/>
    <mergeCell ref="P202:Q202"/>
    <mergeCell ref="P205:U205"/>
    <mergeCell ref="P206:U206"/>
    <mergeCell ref="P207:Q207"/>
    <mergeCell ref="P208:Q208"/>
    <mergeCell ref="R208:U208"/>
    <mergeCell ref="P209:Q209"/>
    <mergeCell ref="P210:Q210"/>
    <mergeCell ref="P211:Q211"/>
    <mergeCell ref="P212:Q212"/>
    <mergeCell ref="P213:Q213"/>
    <mergeCell ref="P214:Q214"/>
    <mergeCell ref="P217:U217"/>
    <mergeCell ref="P218:U218"/>
    <mergeCell ref="R219:U219"/>
    <mergeCell ref="P226:Q226"/>
    <mergeCell ref="P227:Q227"/>
    <mergeCell ref="P228:Q228"/>
    <mergeCell ref="P229:Q229"/>
    <mergeCell ref="P230:Q230"/>
    <mergeCell ref="P232:Q232"/>
    <mergeCell ref="P233:Q233"/>
    <mergeCell ref="P219:Q219"/>
    <mergeCell ref="P220:Q220"/>
    <mergeCell ref="P221:Q221"/>
    <mergeCell ref="P222:Q222"/>
    <mergeCell ref="P223:Q223"/>
    <mergeCell ref="P224:Q224"/>
    <mergeCell ref="P225:Q225"/>
    <mergeCell ref="P164:Q164"/>
    <mergeCell ref="P165:Q165"/>
    <mergeCell ref="P166:Q166"/>
    <mergeCell ref="I167:N167"/>
    <mergeCell ref="I168:N168"/>
    <mergeCell ref="P168:U168"/>
    <mergeCell ref="P169:U169"/>
    <mergeCell ref="P170:Q170"/>
    <mergeCell ref="P173:Q173"/>
    <mergeCell ref="I169:J169"/>
    <mergeCell ref="I170:J170"/>
    <mergeCell ref="K170:N170"/>
    <mergeCell ref="I171:J171"/>
    <mergeCell ref="R171:U171"/>
    <mergeCell ref="I172:J172"/>
    <mergeCell ref="I173:J173"/>
    <mergeCell ref="I174:J174"/>
    <mergeCell ref="P174:Q174"/>
    <mergeCell ref="I175:J175"/>
    <mergeCell ref="P175:Q175"/>
    <mergeCell ref="I176:J176"/>
    <mergeCell ref="P176:Q176"/>
    <mergeCell ref="P177:Q177"/>
    <mergeCell ref="I184:J184"/>
    <mergeCell ref="I185:J185"/>
    <mergeCell ref="I186:J186"/>
    <mergeCell ref="P186:U186"/>
    <mergeCell ref="P187:U187"/>
    <mergeCell ref="R189:U189"/>
    <mergeCell ref="P190:Q190"/>
    <mergeCell ref="I187:J187"/>
    <mergeCell ref="I188:J188"/>
    <mergeCell ref="I189:J189"/>
    <mergeCell ref="I190:J190"/>
    <mergeCell ref="I177:J177"/>
    <mergeCell ref="I178:J178"/>
    <mergeCell ref="I179:J179"/>
    <mergeCell ref="I180:J180"/>
    <mergeCell ref="I181:J181"/>
    <mergeCell ref="I182:J182"/>
    <mergeCell ref="I183:J183"/>
    <mergeCell ref="P14:Q14"/>
    <mergeCell ref="P18:U18"/>
    <mergeCell ref="P19:U19"/>
    <mergeCell ref="P20:Q20"/>
    <mergeCell ref="P21:Q21"/>
    <mergeCell ref="R21:U21"/>
    <mergeCell ref="I14:J14"/>
    <mergeCell ref="I15:J15"/>
    <mergeCell ref="I16:J16"/>
    <mergeCell ref="I17:J17"/>
    <mergeCell ref="I18:J18"/>
    <mergeCell ref="I19:J19"/>
    <mergeCell ref="I21:N21"/>
    <mergeCell ref="F1:J1"/>
    <mergeCell ref="Q1:S1"/>
    <mergeCell ref="B3:G3"/>
    <mergeCell ref="I3:N3"/>
    <mergeCell ref="I4:N4"/>
    <mergeCell ref="P4:U4"/>
    <mergeCell ref="W4:X4"/>
    <mergeCell ref="K6:N6"/>
    <mergeCell ref="P6:Q6"/>
    <mergeCell ref="I6:J6"/>
    <mergeCell ref="I7:J7"/>
    <mergeCell ref="B4:G4"/>
    <mergeCell ref="B5:C5"/>
    <mergeCell ref="P5:U5"/>
    <mergeCell ref="B6:C6"/>
    <mergeCell ref="D6:F6"/>
    <mergeCell ref="B7:C7"/>
    <mergeCell ref="P8:Q8"/>
    <mergeCell ref="I5:J5"/>
    <mergeCell ref="I8:J8"/>
    <mergeCell ref="I9:J9"/>
    <mergeCell ref="I10:J10"/>
    <mergeCell ref="I11:J11"/>
    <mergeCell ref="I12:J12"/>
    <mergeCell ref="I13:J13"/>
    <mergeCell ref="P7:Q7"/>
    <mergeCell ref="R7:U7"/>
    <mergeCell ref="P9:Q9"/>
    <mergeCell ref="P10:Q10"/>
    <mergeCell ref="P11:Q11"/>
    <mergeCell ref="P12:Q12"/>
    <mergeCell ref="P13:Q13"/>
    <mergeCell ref="B21:G21"/>
    <mergeCell ref="B22:G22"/>
    <mergeCell ref="I22:N22"/>
    <mergeCell ref="P22:Q22"/>
    <mergeCell ref="I23:J23"/>
    <mergeCell ref="P23:Q23"/>
    <mergeCell ref="D24:G24"/>
    <mergeCell ref="P24:Q24"/>
    <mergeCell ref="I24:J24"/>
    <mergeCell ref="K24:N24"/>
    <mergeCell ref="I25:J25"/>
    <mergeCell ref="P25:Q25"/>
    <mergeCell ref="I26:J26"/>
    <mergeCell ref="P26:Q26"/>
    <mergeCell ref="P27:Q27"/>
    <mergeCell ref="I27:J27"/>
    <mergeCell ref="I28:J28"/>
    <mergeCell ref="I29:J29"/>
    <mergeCell ref="I30:J30"/>
    <mergeCell ref="I31:J31"/>
    <mergeCell ref="I32:J32"/>
    <mergeCell ref="I33:J33"/>
    <mergeCell ref="P28:Q28"/>
    <mergeCell ref="P29:Q29"/>
    <mergeCell ref="P30:Q30"/>
    <mergeCell ref="P31:Q31"/>
    <mergeCell ref="P32:Q32"/>
    <mergeCell ref="P33:Q33"/>
    <mergeCell ref="P34:Q34"/>
    <mergeCell ref="D45:G45"/>
    <mergeCell ref="I45:J45"/>
    <mergeCell ref="K45:N45"/>
    <mergeCell ref="P45:Q45"/>
    <mergeCell ref="R45:U45"/>
    <mergeCell ref="I34:J34"/>
    <mergeCell ref="I35:J35"/>
    <mergeCell ref="I36:J36"/>
    <mergeCell ref="I37:J37"/>
    <mergeCell ref="E39:K40"/>
    <mergeCell ref="B42:G42"/>
    <mergeCell ref="B43:G43"/>
    <mergeCell ref="P35:Q35"/>
    <mergeCell ref="P36:Q36"/>
    <mergeCell ref="P37:Q37"/>
    <mergeCell ref="P38:Q38"/>
    <mergeCell ref="P42:U42"/>
    <mergeCell ref="P43:U43"/>
    <mergeCell ref="P44:Q44"/>
    <mergeCell ref="P54:Q54"/>
    <mergeCell ref="P55:Q55"/>
    <mergeCell ref="P56:Q56"/>
    <mergeCell ref="P46:Q46"/>
    <mergeCell ref="P47:Q47"/>
    <mergeCell ref="P49:Q49"/>
    <mergeCell ref="P50:Q50"/>
    <mergeCell ref="P51:Q51"/>
    <mergeCell ref="P52:Q52"/>
    <mergeCell ref="P53:Q53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9:C59"/>
    <mergeCell ref="B60:C60"/>
    <mergeCell ref="B61:C61"/>
    <mergeCell ref="B62:C62"/>
    <mergeCell ref="B63:C63"/>
    <mergeCell ref="B65:C65"/>
    <mergeCell ref="B66:C66"/>
    <mergeCell ref="B68:C68"/>
    <mergeCell ref="B69:C69"/>
    <mergeCell ref="I42:N42"/>
    <mergeCell ref="I43:N43"/>
    <mergeCell ref="I44:J44"/>
    <mergeCell ref="I46:J46"/>
    <mergeCell ref="I47:J47"/>
    <mergeCell ref="I49:J49"/>
    <mergeCell ref="I50:J50"/>
    <mergeCell ref="I51:J51"/>
    <mergeCell ref="I52:J52"/>
    <mergeCell ref="I53:J53"/>
    <mergeCell ref="I54:J54"/>
    <mergeCell ref="I55:J55"/>
    <mergeCell ref="I56:J56"/>
    <mergeCell ref="P59:Q59"/>
    <mergeCell ref="P60:Q60"/>
    <mergeCell ref="I59:J59"/>
    <mergeCell ref="I60:J60"/>
    <mergeCell ref="I61:J61"/>
    <mergeCell ref="I62:J62"/>
    <mergeCell ref="I63:J63"/>
    <mergeCell ref="P63:U63"/>
    <mergeCell ref="P64:U64"/>
    <mergeCell ref="I64:J64"/>
    <mergeCell ref="I65:J65"/>
    <mergeCell ref="I66:J66"/>
    <mergeCell ref="I67:J67"/>
    <mergeCell ref="I68:J68"/>
    <mergeCell ref="I69:J69"/>
    <mergeCell ref="I70:J70"/>
    <mergeCell ref="P65:Q65"/>
    <mergeCell ref="P66:Q66"/>
    <mergeCell ref="R66:U66"/>
    <mergeCell ref="P67:Q67"/>
    <mergeCell ref="P68:Q68"/>
    <mergeCell ref="P69:Q69"/>
    <mergeCell ref="P70:Q70"/>
    <mergeCell ref="P71:Q71"/>
    <mergeCell ref="P72:Q72"/>
    <mergeCell ref="P73:Q73"/>
    <mergeCell ref="P74:Q74"/>
    <mergeCell ref="P75:Q75"/>
    <mergeCell ref="P76:Q76"/>
    <mergeCell ref="P77:Q77"/>
    <mergeCell ref="P78:Q78"/>
    <mergeCell ref="P79:Q79"/>
    <mergeCell ref="P82:U82"/>
    <mergeCell ref="P83:U83"/>
    <mergeCell ref="P84:Q84"/>
    <mergeCell ref="P85:Q85"/>
    <mergeCell ref="R85:U85"/>
    <mergeCell ref="X89:Y89"/>
    <mergeCell ref="X90:Y90"/>
    <mergeCell ref="P86:Q86"/>
    <mergeCell ref="P87:Q87"/>
    <mergeCell ref="X87:Y87"/>
    <mergeCell ref="P88:Q88"/>
    <mergeCell ref="P89:Q89"/>
    <mergeCell ref="P90:Q90"/>
    <mergeCell ref="P91:Q91"/>
    <mergeCell ref="P92:Q92"/>
    <mergeCell ref="X92:Y92"/>
    <mergeCell ref="P93:Q93"/>
    <mergeCell ref="X93:Y93"/>
    <mergeCell ref="P96:Q96"/>
    <mergeCell ref="X96:Y96"/>
    <mergeCell ref="X97:Y97"/>
    <mergeCell ref="X101:Y101"/>
    <mergeCell ref="X102:Y102"/>
    <mergeCell ref="X103:Y103"/>
    <mergeCell ref="X104:Y104"/>
    <mergeCell ref="X105:Y105"/>
    <mergeCell ref="X106:Y106"/>
    <mergeCell ref="X107:Y107"/>
    <mergeCell ref="X108:Y108"/>
    <mergeCell ref="X88:Y88"/>
    <mergeCell ref="X91:Y91"/>
    <mergeCell ref="X94:Y94"/>
    <mergeCell ref="X95:Y95"/>
    <mergeCell ref="X98:Y98"/>
    <mergeCell ref="X99:Y99"/>
    <mergeCell ref="X100:Y100"/>
    <mergeCell ref="P97:Q97"/>
    <mergeCell ref="P98:Q98"/>
    <mergeCell ref="P99:Q99"/>
    <mergeCell ref="P101:Q101"/>
    <mergeCell ref="P108:U109"/>
    <mergeCell ref="P110:U110"/>
    <mergeCell ref="P111:U111"/>
    <mergeCell ref="P112:Q112"/>
    <mergeCell ref="P113:Q113"/>
    <mergeCell ref="R113:U113"/>
    <mergeCell ref="P114:Q114"/>
    <mergeCell ref="P115:Q115"/>
    <mergeCell ref="P116:Q116"/>
    <mergeCell ref="P117:Q117"/>
    <mergeCell ref="P118:Q118"/>
    <mergeCell ref="P119:Q119"/>
    <mergeCell ref="P120:Q120"/>
    <mergeCell ref="P121:Q121"/>
    <mergeCell ref="P122:Q122"/>
    <mergeCell ref="P123:Q123"/>
    <mergeCell ref="P124:Q124"/>
    <mergeCell ref="P125:Q125"/>
    <mergeCell ref="P126:Q126"/>
    <mergeCell ref="P130:U130"/>
    <mergeCell ref="P131:U131"/>
    <mergeCell ref="P133:Q133"/>
    <mergeCell ref="P134:Q134"/>
    <mergeCell ref="R134:U134"/>
    <mergeCell ref="P135:Q135"/>
    <mergeCell ref="P136:Q136"/>
    <mergeCell ref="P137:Q137"/>
    <mergeCell ref="P138:Q138"/>
    <mergeCell ref="P139:Q139"/>
    <mergeCell ref="P140:Q140"/>
    <mergeCell ref="P141:Q141"/>
    <mergeCell ref="P142:Q142"/>
    <mergeCell ref="P143:Q143"/>
    <mergeCell ref="P144:Q144"/>
    <mergeCell ref="P145:Q145"/>
    <mergeCell ref="P146:Q146"/>
    <mergeCell ref="P147:Q147"/>
    <mergeCell ref="P150:U150"/>
    <mergeCell ref="P151:U151"/>
    <mergeCell ref="P152:Q152"/>
    <mergeCell ref="P153:Q153"/>
    <mergeCell ref="R153:U153"/>
    <mergeCell ref="P154:Q154"/>
    <mergeCell ref="P155:Q155"/>
    <mergeCell ref="P156:Q156"/>
    <mergeCell ref="P157:Q157"/>
    <mergeCell ref="P158:Q158"/>
    <mergeCell ref="P159:Q159"/>
    <mergeCell ref="P160:Q160"/>
    <mergeCell ref="P161:Q161"/>
    <mergeCell ref="P162:Q162"/>
    <mergeCell ref="P163:Q163"/>
    <mergeCell ref="P171:Q171"/>
    <mergeCell ref="P172:Q17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48.29"/>
    <col customWidth="1" min="3" max="3" width="16.43"/>
    <col customWidth="1" min="7" max="7" width="17.0"/>
    <col customWidth="1" min="8" max="8" width="16.14"/>
    <col customWidth="1" min="10" max="10" width="17.71"/>
  </cols>
  <sheetData>
    <row r="1">
      <c r="A1" s="24" t="s">
        <v>225</v>
      </c>
      <c r="B1" s="28" t="s">
        <v>58</v>
      </c>
      <c r="C1" s="16"/>
      <c r="D1" s="16"/>
      <c r="E1" s="16"/>
      <c r="F1" s="16"/>
      <c r="G1" s="17"/>
      <c r="H1" s="106"/>
      <c r="I1" s="18" t="s">
        <v>58</v>
      </c>
      <c r="J1" s="16"/>
      <c r="K1" s="16"/>
      <c r="L1" s="16"/>
      <c r="M1" s="16"/>
      <c r="N1" s="17"/>
    </row>
    <row r="2">
      <c r="B2" s="28" t="s">
        <v>14</v>
      </c>
      <c r="C2" s="16"/>
      <c r="D2" s="16"/>
      <c r="E2" s="16"/>
      <c r="F2" s="16"/>
      <c r="G2" s="17"/>
      <c r="H2" s="106"/>
      <c r="I2" s="28" t="s">
        <v>421</v>
      </c>
      <c r="J2" s="16"/>
      <c r="K2" s="16"/>
      <c r="L2" s="16"/>
      <c r="M2" s="16"/>
      <c r="N2" s="17"/>
    </row>
    <row r="3">
      <c r="B3" s="117" t="s">
        <v>60</v>
      </c>
      <c r="C3" s="79"/>
      <c r="D3" s="118" t="s">
        <v>16</v>
      </c>
      <c r="E3" s="118" t="s">
        <v>17</v>
      </c>
      <c r="F3" s="118" t="s">
        <v>18</v>
      </c>
      <c r="G3" s="119" t="s">
        <v>19</v>
      </c>
      <c r="I3" s="57" t="s">
        <v>60</v>
      </c>
      <c r="J3" s="17"/>
      <c r="K3" s="58" t="s">
        <v>16</v>
      </c>
      <c r="L3" s="58" t="s">
        <v>17</v>
      </c>
      <c r="M3" s="58" t="s">
        <v>18</v>
      </c>
      <c r="N3" s="58" t="s">
        <v>19</v>
      </c>
    </row>
    <row r="4">
      <c r="B4" s="117" t="s">
        <v>422</v>
      </c>
      <c r="C4" s="79"/>
      <c r="D4" s="57" t="s">
        <v>423</v>
      </c>
      <c r="E4" s="16"/>
      <c r="F4" s="16"/>
      <c r="G4" s="17"/>
      <c r="I4" s="57" t="s">
        <v>424</v>
      </c>
      <c r="J4" s="17"/>
      <c r="K4" s="120"/>
      <c r="L4" s="120"/>
      <c r="M4" s="120"/>
      <c r="N4" s="120"/>
    </row>
    <row r="5">
      <c r="B5" s="83" t="s">
        <v>425</v>
      </c>
      <c r="C5" s="79"/>
      <c r="D5" s="82" t="s">
        <v>87</v>
      </c>
      <c r="E5" s="82" t="s">
        <v>200</v>
      </c>
      <c r="F5" s="84">
        <v>1.0</v>
      </c>
      <c r="G5" s="82"/>
      <c r="I5" s="115"/>
      <c r="J5" s="17"/>
      <c r="K5" s="91"/>
      <c r="L5" s="121"/>
      <c r="M5" s="122"/>
      <c r="N5" s="91"/>
    </row>
    <row r="6">
      <c r="B6" s="83" t="s">
        <v>426</v>
      </c>
      <c r="C6" s="79"/>
      <c r="D6" s="82" t="s">
        <v>87</v>
      </c>
      <c r="E6" s="82" t="s">
        <v>427</v>
      </c>
      <c r="F6" s="84">
        <v>1.0</v>
      </c>
      <c r="G6" s="82"/>
      <c r="I6" s="115" t="s">
        <v>426</v>
      </c>
      <c r="J6" s="17"/>
      <c r="K6" s="91" t="s">
        <v>87</v>
      </c>
      <c r="L6" s="121" t="s">
        <v>78</v>
      </c>
      <c r="M6" s="122">
        <v>1.0</v>
      </c>
      <c r="N6" s="91"/>
    </row>
    <row r="7">
      <c r="B7" s="83" t="s">
        <v>428</v>
      </c>
      <c r="C7" s="79"/>
      <c r="D7" s="82" t="s">
        <v>87</v>
      </c>
      <c r="E7" s="82" t="s">
        <v>429</v>
      </c>
      <c r="F7" s="84">
        <v>1.0</v>
      </c>
      <c r="G7" s="82"/>
      <c r="I7" s="78" t="s">
        <v>157</v>
      </c>
      <c r="J7" s="79"/>
      <c r="K7" s="91" t="s">
        <v>87</v>
      </c>
      <c r="L7" s="121" t="s">
        <v>430</v>
      </c>
      <c r="M7" s="122">
        <v>1.0</v>
      </c>
      <c r="N7" s="91"/>
    </row>
    <row r="8">
      <c r="B8" s="83" t="s">
        <v>431</v>
      </c>
      <c r="C8" s="79"/>
      <c r="D8" s="82" t="s">
        <v>87</v>
      </c>
      <c r="E8" s="85" t="s">
        <v>432</v>
      </c>
      <c r="F8" s="84">
        <v>1.0</v>
      </c>
      <c r="G8" s="82"/>
      <c r="I8" s="78" t="s">
        <v>433</v>
      </c>
      <c r="J8" s="79"/>
      <c r="K8" s="91" t="s">
        <v>87</v>
      </c>
      <c r="L8" s="121" t="s">
        <v>78</v>
      </c>
      <c r="M8" s="122">
        <v>1.0</v>
      </c>
      <c r="N8" s="91"/>
    </row>
    <row r="9">
      <c r="B9" s="83" t="s">
        <v>434</v>
      </c>
      <c r="C9" s="79"/>
      <c r="D9" s="82" t="s">
        <v>87</v>
      </c>
      <c r="E9" s="82" t="s">
        <v>435</v>
      </c>
      <c r="F9" s="84">
        <v>1.0</v>
      </c>
      <c r="G9" s="82"/>
      <c r="I9" s="78" t="s">
        <v>436</v>
      </c>
      <c r="J9" s="79"/>
      <c r="K9" s="91" t="s">
        <v>87</v>
      </c>
      <c r="L9" s="121" t="s">
        <v>78</v>
      </c>
      <c r="M9" s="122">
        <v>1.0</v>
      </c>
      <c r="N9" s="91"/>
    </row>
    <row r="10">
      <c r="B10" s="83" t="s">
        <v>157</v>
      </c>
      <c r="C10" s="79"/>
      <c r="D10" s="82" t="s">
        <v>437</v>
      </c>
      <c r="E10" s="82" t="s">
        <v>438</v>
      </c>
      <c r="F10" s="84">
        <v>1.0</v>
      </c>
      <c r="G10" s="82"/>
      <c r="I10" s="78" t="s">
        <v>439</v>
      </c>
      <c r="J10" s="79"/>
      <c r="K10" s="80" t="s">
        <v>87</v>
      </c>
      <c r="L10" s="123" t="s">
        <v>440</v>
      </c>
      <c r="M10" s="81">
        <v>1.0</v>
      </c>
      <c r="N10" s="80"/>
    </row>
    <row r="11">
      <c r="B11" s="83" t="s">
        <v>433</v>
      </c>
      <c r="C11" s="79"/>
      <c r="D11" s="82" t="s">
        <v>441</v>
      </c>
      <c r="E11" s="82" t="s">
        <v>442</v>
      </c>
      <c r="F11" s="84">
        <v>1.0</v>
      </c>
      <c r="G11" s="82"/>
      <c r="I11" s="78" t="s">
        <v>443</v>
      </c>
      <c r="J11" s="79"/>
      <c r="K11" s="80" t="s">
        <v>197</v>
      </c>
      <c r="L11" s="80" t="s">
        <v>444</v>
      </c>
      <c r="M11" s="81">
        <v>1.0</v>
      </c>
      <c r="N11" s="80"/>
    </row>
    <row r="12">
      <c r="B12" s="83" t="s">
        <v>445</v>
      </c>
      <c r="C12" s="79"/>
      <c r="D12" s="82" t="s">
        <v>87</v>
      </c>
      <c r="E12" s="82" t="s">
        <v>446</v>
      </c>
      <c r="F12" s="84"/>
      <c r="G12" s="124" t="s">
        <v>9</v>
      </c>
      <c r="I12" s="78" t="s">
        <v>447</v>
      </c>
      <c r="J12" s="79"/>
      <c r="K12" s="80" t="s">
        <v>78</v>
      </c>
      <c r="L12" s="123" t="s">
        <v>78</v>
      </c>
      <c r="M12" s="81">
        <v>1.0</v>
      </c>
      <c r="N12" s="80"/>
    </row>
    <row r="13">
      <c r="B13" s="83" t="s">
        <v>439</v>
      </c>
      <c r="C13" s="79"/>
      <c r="D13" s="82" t="s">
        <v>87</v>
      </c>
      <c r="E13" s="82" t="s">
        <v>448</v>
      </c>
      <c r="F13" s="84">
        <v>1.0</v>
      </c>
      <c r="G13" s="82"/>
      <c r="I13" s="78" t="s">
        <v>449</v>
      </c>
      <c r="J13" s="79"/>
      <c r="K13" s="80" t="s">
        <v>78</v>
      </c>
      <c r="L13" s="123" t="s">
        <v>78</v>
      </c>
      <c r="M13" s="81">
        <v>1.0</v>
      </c>
      <c r="N13" s="80"/>
    </row>
    <row r="14">
      <c r="B14" s="83" t="s">
        <v>436</v>
      </c>
      <c r="C14" s="79"/>
      <c r="D14" s="82" t="s">
        <v>87</v>
      </c>
      <c r="E14" s="82" t="s">
        <v>450</v>
      </c>
      <c r="F14" s="84">
        <v>1.0</v>
      </c>
      <c r="G14" s="82"/>
      <c r="I14" s="78" t="s">
        <v>451</v>
      </c>
      <c r="J14" s="79"/>
      <c r="K14" s="80" t="s">
        <v>87</v>
      </c>
      <c r="L14" s="123" t="s">
        <v>78</v>
      </c>
      <c r="M14" s="81">
        <v>1.0</v>
      </c>
      <c r="N14" s="80"/>
    </row>
    <row r="15">
      <c r="B15" s="83" t="s">
        <v>452</v>
      </c>
      <c r="C15" s="79"/>
      <c r="D15" s="82" t="s">
        <v>87</v>
      </c>
      <c r="E15" s="82" t="s">
        <v>453</v>
      </c>
      <c r="F15" s="84">
        <v>1.0</v>
      </c>
      <c r="G15" s="82"/>
      <c r="I15" s="78" t="s">
        <v>452</v>
      </c>
      <c r="J15" s="79"/>
      <c r="K15" s="80" t="s">
        <v>87</v>
      </c>
      <c r="L15" s="123" t="s">
        <v>454</v>
      </c>
      <c r="M15" s="81">
        <v>1.0</v>
      </c>
      <c r="N15" s="80"/>
    </row>
    <row r="16">
      <c r="B16" s="83" t="s">
        <v>455</v>
      </c>
      <c r="C16" s="79"/>
      <c r="D16" s="82" t="s">
        <v>87</v>
      </c>
      <c r="E16" s="125" t="s">
        <v>456</v>
      </c>
      <c r="F16" s="84">
        <v>1.0</v>
      </c>
      <c r="G16" s="82"/>
      <c r="I16" s="78" t="s">
        <v>457</v>
      </c>
      <c r="J16" s="79"/>
      <c r="K16" s="126" t="s">
        <v>168</v>
      </c>
      <c r="L16" s="121" t="s">
        <v>458</v>
      </c>
      <c r="M16" s="72">
        <v>1.0</v>
      </c>
      <c r="N16" s="72"/>
    </row>
    <row r="17">
      <c r="B17" s="83" t="s">
        <v>459</v>
      </c>
      <c r="C17" s="79"/>
      <c r="D17" s="82" t="s">
        <v>87</v>
      </c>
      <c r="E17" s="82" t="s">
        <v>171</v>
      </c>
      <c r="F17" s="84">
        <v>1.0</v>
      </c>
      <c r="G17" s="82"/>
      <c r="I17" s="78" t="s">
        <v>151</v>
      </c>
      <c r="J17" s="79"/>
      <c r="K17" s="80" t="s">
        <v>120</v>
      </c>
      <c r="L17" s="80" t="s">
        <v>460</v>
      </c>
      <c r="M17" s="81">
        <v>1.0</v>
      </c>
      <c r="N17" s="80"/>
    </row>
    <row r="18">
      <c r="B18" s="25" t="s">
        <v>461</v>
      </c>
      <c r="C18" s="17"/>
      <c r="D18" s="4" t="s">
        <v>87</v>
      </c>
      <c r="E18" s="4" t="s">
        <v>462</v>
      </c>
      <c r="F18" s="4">
        <v>1.0</v>
      </c>
      <c r="G18" s="4" t="s">
        <v>463</v>
      </c>
      <c r="I18" s="115" t="s">
        <v>431</v>
      </c>
      <c r="J18" s="17"/>
      <c r="K18" s="91" t="s">
        <v>78</v>
      </c>
      <c r="L18" s="127" t="s">
        <v>464</v>
      </c>
      <c r="M18" s="122">
        <v>1.0</v>
      </c>
      <c r="N18" s="91"/>
    </row>
    <row r="19">
      <c r="B19" s="128" t="s">
        <v>80</v>
      </c>
      <c r="C19" s="79"/>
      <c r="D19" s="124" t="s">
        <v>222</v>
      </c>
      <c r="E19" s="124" t="s">
        <v>78</v>
      </c>
      <c r="F19" s="129">
        <v>1.0</v>
      </c>
      <c r="G19" s="82" t="s">
        <v>463</v>
      </c>
      <c r="I19" s="115" t="s">
        <v>465</v>
      </c>
      <c r="J19" s="17"/>
      <c r="K19" s="91" t="s">
        <v>78</v>
      </c>
      <c r="L19" s="91" t="s">
        <v>466</v>
      </c>
      <c r="M19" s="122">
        <v>1.0</v>
      </c>
      <c r="N19" s="91"/>
    </row>
    <row r="20">
      <c r="B20" s="128" t="s">
        <v>151</v>
      </c>
      <c r="C20" s="79"/>
      <c r="D20" s="124" t="s">
        <v>87</v>
      </c>
      <c r="E20" s="124" t="s">
        <v>78</v>
      </c>
      <c r="F20" s="129">
        <v>1.0</v>
      </c>
      <c r="G20" s="82" t="s">
        <v>463</v>
      </c>
      <c r="I20" s="78" t="s">
        <v>467</v>
      </c>
      <c r="J20" s="79"/>
      <c r="K20" s="80" t="s">
        <v>78</v>
      </c>
      <c r="L20" s="130" t="s">
        <v>468</v>
      </c>
      <c r="M20" s="81">
        <v>1.0</v>
      </c>
      <c r="N20" s="80"/>
    </row>
    <row r="21">
      <c r="B21" s="128" t="s">
        <v>443</v>
      </c>
      <c r="C21" s="79"/>
      <c r="D21" s="124" t="s">
        <v>69</v>
      </c>
      <c r="E21" s="124" t="s">
        <v>78</v>
      </c>
      <c r="F21" s="129">
        <v>1.0</v>
      </c>
      <c r="G21" s="82" t="s">
        <v>463</v>
      </c>
      <c r="I21" s="78" t="s">
        <v>459</v>
      </c>
      <c r="J21" s="79"/>
      <c r="K21" s="80" t="s">
        <v>87</v>
      </c>
      <c r="L21" s="80" t="s">
        <v>382</v>
      </c>
      <c r="M21" s="81">
        <v>1.0</v>
      </c>
      <c r="N21" s="80"/>
    </row>
    <row r="22">
      <c r="B22" s="128" t="s">
        <v>469</v>
      </c>
      <c r="C22" s="79"/>
      <c r="D22" s="124" t="s">
        <v>75</v>
      </c>
      <c r="E22" s="124" t="s">
        <v>76</v>
      </c>
      <c r="F22" s="129">
        <v>1.0</v>
      </c>
      <c r="G22" s="82" t="s">
        <v>463</v>
      </c>
      <c r="I22" s="73" t="s">
        <v>470</v>
      </c>
      <c r="J22" s="17"/>
      <c r="K22" s="72" t="s">
        <v>120</v>
      </c>
      <c r="L22" s="72" t="s">
        <v>471</v>
      </c>
      <c r="M22" s="72">
        <v>1.0</v>
      </c>
      <c r="N22" s="80"/>
    </row>
    <row r="23">
      <c r="B23" s="25" t="s">
        <v>470</v>
      </c>
      <c r="C23" s="17"/>
      <c r="D23" s="4" t="s">
        <v>120</v>
      </c>
      <c r="E23" s="4" t="s">
        <v>471</v>
      </c>
      <c r="F23" s="4">
        <v>1.0</v>
      </c>
      <c r="G23" s="82" t="s">
        <v>463</v>
      </c>
      <c r="I23" s="73" t="s">
        <v>472</v>
      </c>
      <c r="J23" s="17"/>
      <c r="K23" s="72" t="s">
        <v>120</v>
      </c>
      <c r="L23" s="72" t="s">
        <v>473</v>
      </c>
      <c r="M23" s="72">
        <v>1.0</v>
      </c>
      <c r="N23" s="72"/>
    </row>
    <row r="24">
      <c r="B24" s="25" t="s">
        <v>474</v>
      </c>
      <c r="C24" s="17"/>
      <c r="D24" s="4" t="s">
        <v>120</v>
      </c>
      <c r="E24" s="4" t="s">
        <v>475</v>
      </c>
      <c r="F24" s="4">
        <v>1.0</v>
      </c>
      <c r="G24" s="82" t="s">
        <v>463</v>
      </c>
      <c r="I24" s="73" t="s">
        <v>364</v>
      </c>
      <c r="J24" s="17"/>
      <c r="K24" s="72" t="s">
        <v>75</v>
      </c>
      <c r="L24" s="72" t="s">
        <v>89</v>
      </c>
      <c r="M24" s="72">
        <v>1.0</v>
      </c>
      <c r="N24" s="72"/>
    </row>
    <row r="25">
      <c r="B25" s="25" t="s">
        <v>476</v>
      </c>
      <c r="C25" s="17"/>
      <c r="D25" s="4" t="s">
        <v>87</v>
      </c>
      <c r="E25" s="131" t="s">
        <v>477</v>
      </c>
      <c r="F25" s="4">
        <v>2.0</v>
      </c>
      <c r="G25" s="4" t="s">
        <v>463</v>
      </c>
      <c r="I25" s="73" t="s">
        <v>443</v>
      </c>
      <c r="J25" s="17"/>
      <c r="K25" s="72" t="s">
        <v>87</v>
      </c>
      <c r="L25" s="72" t="s">
        <v>478</v>
      </c>
      <c r="M25" s="72">
        <v>1.0</v>
      </c>
      <c r="N25" s="72"/>
    </row>
    <row r="26">
      <c r="B26" s="25" t="s">
        <v>364</v>
      </c>
      <c r="C26" s="17"/>
      <c r="D26" s="4" t="s">
        <v>75</v>
      </c>
      <c r="E26" s="4" t="s">
        <v>89</v>
      </c>
      <c r="F26" s="4">
        <v>1.0</v>
      </c>
      <c r="G26" s="4" t="s">
        <v>463</v>
      </c>
      <c r="I26" s="73" t="s">
        <v>479</v>
      </c>
      <c r="J26" s="17"/>
      <c r="K26" s="72" t="s">
        <v>87</v>
      </c>
      <c r="L26" s="72" t="s">
        <v>462</v>
      </c>
      <c r="M26" s="72">
        <v>1.0</v>
      </c>
      <c r="N26" s="72"/>
    </row>
    <row r="27">
      <c r="B27" s="78" t="s">
        <v>38</v>
      </c>
      <c r="C27" s="79"/>
      <c r="D27" s="80"/>
      <c r="E27" s="80"/>
      <c r="F27" s="4">
        <f>SUM(F1:F26)</f>
        <v>22</v>
      </c>
      <c r="G27" s="4"/>
      <c r="I27" s="73" t="s">
        <v>80</v>
      </c>
      <c r="J27" s="17"/>
      <c r="K27" s="72" t="s">
        <v>222</v>
      </c>
      <c r="L27" s="72" t="s">
        <v>78</v>
      </c>
      <c r="M27" s="72">
        <v>2.0</v>
      </c>
      <c r="N27" s="72"/>
    </row>
    <row r="28">
      <c r="I28" s="73" t="s">
        <v>480</v>
      </c>
      <c r="J28" s="17"/>
      <c r="K28" s="72" t="s">
        <v>197</v>
      </c>
      <c r="L28" s="72" t="s">
        <v>481</v>
      </c>
      <c r="M28" s="72">
        <v>1.0</v>
      </c>
      <c r="N28" s="72"/>
    </row>
    <row r="29">
      <c r="I29" s="73" t="s">
        <v>482</v>
      </c>
      <c r="J29" s="17"/>
      <c r="K29" s="72" t="s">
        <v>232</v>
      </c>
      <c r="L29" s="72" t="s">
        <v>483</v>
      </c>
      <c r="M29" s="72">
        <v>1.0</v>
      </c>
      <c r="N29" s="72"/>
    </row>
    <row r="30">
      <c r="I30" s="73"/>
      <c r="J30" s="17"/>
      <c r="K30" s="72"/>
      <c r="L30" s="74" t="s">
        <v>38</v>
      </c>
      <c r="M30" s="74">
        <f>SUM(M6:M29)</f>
        <v>25</v>
      </c>
      <c r="N30" s="72"/>
    </row>
    <row r="34">
      <c r="B34" s="28" t="s">
        <v>58</v>
      </c>
      <c r="C34" s="16"/>
      <c r="D34" s="16"/>
      <c r="E34" s="16"/>
      <c r="F34" s="16"/>
      <c r="G34" s="17"/>
      <c r="H34" s="106"/>
      <c r="I34" s="28" t="s">
        <v>58</v>
      </c>
      <c r="J34" s="16"/>
      <c r="K34" s="16"/>
      <c r="L34" s="16"/>
      <c r="M34" s="16"/>
      <c r="N34" s="17"/>
    </row>
    <row r="35">
      <c r="B35" s="28" t="s">
        <v>14</v>
      </c>
      <c r="C35" s="16"/>
      <c r="D35" s="16"/>
      <c r="E35" s="16"/>
      <c r="F35" s="16"/>
      <c r="G35" s="17"/>
      <c r="H35" s="106"/>
      <c r="I35" s="28" t="s">
        <v>14</v>
      </c>
      <c r="J35" s="16"/>
      <c r="K35" s="16"/>
      <c r="L35" s="16"/>
      <c r="M35" s="16"/>
      <c r="N35" s="17"/>
    </row>
    <row r="36">
      <c r="B36" s="117" t="s">
        <v>60</v>
      </c>
      <c r="C36" s="79"/>
      <c r="D36" s="118" t="s">
        <v>16</v>
      </c>
      <c r="E36" s="118" t="s">
        <v>17</v>
      </c>
      <c r="F36" s="118" t="s">
        <v>18</v>
      </c>
      <c r="G36" s="118" t="s">
        <v>19</v>
      </c>
      <c r="I36" s="57" t="s">
        <v>60</v>
      </c>
      <c r="J36" s="17"/>
      <c r="K36" s="58" t="s">
        <v>16</v>
      </c>
      <c r="L36" s="58" t="s">
        <v>17</v>
      </c>
      <c r="M36" s="58" t="s">
        <v>18</v>
      </c>
      <c r="N36" s="58" t="s">
        <v>19</v>
      </c>
    </row>
    <row r="37">
      <c r="B37" s="117" t="s">
        <v>484</v>
      </c>
      <c r="C37" s="79"/>
      <c r="D37" s="119"/>
      <c r="E37" s="119"/>
      <c r="F37" s="119"/>
      <c r="G37" s="119" t="s">
        <v>485</v>
      </c>
      <c r="I37" s="57" t="s">
        <v>486</v>
      </c>
      <c r="J37" s="17"/>
      <c r="K37" s="58"/>
      <c r="L37" s="58"/>
      <c r="M37" s="58"/>
      <c r="N37" s="58" t="s">
        <v>487</v>
      </c>
    </row>
    <row r="38">
      <c r="B38" s="78" t="s">
        <v>488</v>
      </c>
      <c r="C38" s="79"/>
      <c r="D38" s="80" t="s">
        <v>69</v>
      </c>
      <c r="E38" s="123" t="s">
        <v>78</v>
      </c>
      <c r="F38" s="81">
        <v>1.0</v>
      </c>
      <c r="G38" s="132" t="s">
        <v>489</v>
      </c>
      <c r="I38" s="115" t="s">
        <v>425</v>
      </c>
      <c r="J38" s="17"/>
      <c r="K38" s="91" t="s">
        <v>87</v>
      </c>
      <c r="L38" s="91" t="s">
        <v>200</v>
      </c>
      <c r="M38" s="122">
        <v>1.0</v>
      </c>
      <c r="N38" s="91"/>
    </row>
    <row r="39">
      <c r="B39" s="78" t="s">
        <v>433</v>
      </c>
      <c r="C39" s="79"/>
      <c r="D39" s="80" t="s">
        <v>197</v>
      </c>
      <c r="E39" s="123">
        <v>498950.0</v>
      </c>
      <c r="F39" s="81">
        <v>1.0</v>
      </c>
      <c r="G39" s="80"/>
      <c r="I39" s="133" t="s">
        <v>426</v>
      </c>
      <c r="J39" s="17"/>
      <c r="K39" s="91" t="s">
        <v>87</v>
      </c>
      <c r="L39" s="91" t="s">
        <v>427</v>
      </c>
      <c r="M39" s="122">
        <v>1.0</v>
      </c>
      <c r="N39" s="91"/>
    </row>
    <row r="40">
      <c r="B40" s="78" t="s">
        <v>433</v>
      </c>
      <c r="C40" s="79"/>
      <c r="D40" s="80" t="s">
        <v>78</v>
      </c>
      <c r="E40" s="123" t="s">
        <v>78</v>
      </c>
      <c r="F40" s="81">
        <v>1.0</v>
      </c>
      <c r="G40" s="80"/>
      <c r="I40" s="133" t="s">
        <v>428</v>
      </c>
      <c r="J40" s="17"/>
      <c r="K40" s="91" t="s">
        <v>87</v>
      </c>
      <c r="L40" s="121" t="s">
        <v>429</v>
      </c>
      <c r="M40" s="122">
        <v>1.0</v>
      </c>
      <c r="N40" s="91"/>
    </row>
    <row r="41">
      <c r="B41" s="78" t="s">
        <v>490</v>
      </c>
      <c r="C41" s="79"/>
      <c r="D41" s="80" t="s">
        <v>491</v>
      </c>
      <c r="E41" s="123" t="s">
        <v>492</v>
      </c>
      <c r="F41" s="81">
        <v>1.0</v>
      </c>
      <c r="G41" s="80"/>
      <c r="I41" s="133" t="s">
        <v>431</v>
      </c>
      <c r="J41" s="17"/>
      <c r="K41" s="91" t="s">
        <v>87</v>
      </c>
      <c r="L41" s="121" t="s">
        <v>432</v>
      </c>
      <c r="M41" s="122">
        <v>1.0</v>
      </c>
      <c r="N41" s="91"/>
    </row>
    <row r="42">
      <c r="B42" s="78" t="s">
        <v>459</v>
      </c>
      <c r="C42" s="79"/>
      <c r="D42" s="80" t="s">
        <v>69</v>
      </c>
      <c r="E42" s="123">
        <v>251802.0</v>
      </c>
      <c r="F42" s="81">
        <v>1.0</v>
      </c>
      <c r="G42" s="80"/>
      <c r="I42" s="134" t="s">
        <v>465</v>
      </c>
      <c r="J42" s="17"/>
      <c r="K42" s="135"/>
      <c r="L42" s="135" t="s">
        <v>466</v>
      </c>
      <c r="M42" s="136">
        <v>0.0</v>
      </c>
      <c r="N42" s="135" t="s">
        <v>493</v>
      </c>
    </row>
    <row r="43">
      <c r="B43" s="78" t="s">
        <v>494</v>
      </c>
      <c r="C43" s="79"/>
      <c r="D43" s="80" t="s">
        <v>197</v>
      </c>
      <c r="E43" s="123" t="s">
        <v>495</v>
      </c>
      <c r="F43" s="81">
        <v>1.0</v>
      </c>
      <c r="G43" s="80" t="s">
        <v>496</v>
      </c>
      <c r="I43" s="137" t="s">
        <v>467</v>
      </c>
      <c r="J43" s="79"/>
      <c r="K43" s="80" t="s">
        <v>87</v>
      </c>
      <c r="L43" s="123" t="s">
        <v>497</v>
      </c>
      <c r="M43" s="81">
        <v>1.0</v>
      </c>
      <c r="N43" s="80"/>
    </row>
    <row r="44">
      <c r="B44" s="78" t="s">
        <v>494</v>
      </c>
      <c r="C44" s="79"/>
      <c r="D44" s="80" t="s">
        <v>197</v>
      </c>
      <c r="E44" s="123" t="s">
        <v>498</v>
      </c>
      <c r="F44" s="81">
        <v>1.0</v>
      </c>
      <c r="G44" s="80" t="s">
        <v>496</v>
      </c>
      <c r="I44" s="137" t="s">
        <v>488</v>
      </c>
      <c r="J44" s="79"/>
      <c r="K44" s="80" t="s">
        <v>87</v>
      </c>
      <c r="L44" s="80" t="s">
        <v>391</v>
      </c>
      <c r="M44" s="81">
        <v>1.0</v>
      </c>
      <c r="N44" s="80"/>
    </row>
    <row r="45">
      <c r="B45" s="78" t="s">
        <v>494</v>
      </c>
      <c r="C45" s="79"/>
      <c r="D45" s="80" t="s">
        <v>87</v>
      </c>
      <c r="E45" s="123" t="s">
        <v>499</v>
      </c>
      <c r="F45" s="81">
        <v>1.0</v>
      </c>
      <c r="G45" s="80" t="s">
        <v>500</v>
      </c>
      <c r="I45" s="137" t="s">
        <v>433</v>
      </c>
      <c r="J45" s="79"/>
      <c r="K45" s="80" t="s">
        <v>87</v>
      </c>
      <c r="L45" s="80" t="s">
        <v>501</v>
      </c>
      <c r="M45" s="81">
        <v>1.0</v>
      </c>
      <c r="N45" s="80"/>
    </row>
    <row r="46">
      <c r="B46" s="78" t="s">
        <v>494</v>
      </c>
      <c r="C46" s="79"/>
      <c r="D46" s="80" t="s">
        <v>502</v>
      </c>
      <c r="E46" s="123" t="s">
        <v>503</v>
      </c>
      <c r="F46" s="81">
        <v>1.0</v>
      </c>
      <c r="G46" s="80"/>
      <c r="I46" s="137" t="s">
        <v>445</v>
      </c>
      <c r="J46" s="79"/>
      <c r="K46" s="80" t="s">
        <v>87</v>
      </c>
      <c r="L46" s="80" t="s">
        <v>446</v>
      </c>
      <c r="M46" s="81">
        <v>1.0</v>
      </c>
      <c r="N46" s="80"/>
    </row>
    <row r="47">
      <c r="B47" s="138" t="s">
        <v>494</v>
      </c>
      <c r="C47" s="79"/>
      <c r="D47" s="139" t="s">
        <v>78</v>
      </c>
      <c r="E47" s="140">
        <v>593.0</v>
      </c>
      <c r="F47" s="141">
        <v>1.0</v>
      </c>
      <c r="G47" s="139" t="s">
        <v>212</v>
      </c>
      <c r="I47" s="137" t="s">
        <v>439</v>
      </c>
      <c r="J47" s="79"/>
      <c r="K47" s="80" t="s">
        <v>87</v>
      </c>
      <c r="L47" s="80" t="s">
        <v>504</v>
      </c>
      <c r="M47" s="81">
        <v>1.0</v>
      </c>
      <c r="N47" s="80"/>
    </row>
    <row r="48">
      <c r="B48" s="78" t="s">
        <v>505</v>
      </c>
      <c r="C48" s="79"/>
      <c r="D48" s="80" t="s">
        <v>78</v>
      </c>
      <c r="E48" s="123" t="s">
        <v>78</v>
      </c>
      <c r="F48" s="81">
        <v>1.0</v>
      </c>
      <c r="G48" s="80"/>
      <c r="I48" s="78" t="s">
        <v>436</v>
      </c>
      <c r="J48" s="79"/>
      <c r="K48" s="80" t="s">
        <v>87</v>
      </c>
      <c r="L48" s="80" t="s">
        <v>450</v>
      </c>
      <c r="M48" s="81">
        <v>1.0</v>
      </c>
      <c r="N48" s="80"/>
    </row>
    <row r="49">
      <c r="B49" s="78" t="s">
        <v>506</v>
      </c>
      <c r="C49" s="79"/>
      <c r="D49" s="80" t="s">
        <v>78</v>
      </c>
      <c r="E49" s="123" t="s">
        <v>78</v>
      </c>
      <c r="F49" s="81">
        <v>1.0</v>
      </c>
      <c r="G49" s="80"/>
      <c r="I49" s="138" t="s">
        <v>452</v>
      </c>
      <c r="J49" s="79"/>
      <c r="K49" s="139"/>
      <c r="L49" s="139" t="s">
        <v>453</v>
      </c>
      <c r="M49" s="141">
        <v>0.0</v>
      </c>
      <c r="N49" s="139" t="s">
        <v>212</v>
      </c>
    </row>
    <row r="50">
      <c r="B50" s="78" t="s">
        <v>507</v>
      </c>
      <c r="C50" s="79"/>
      <c r="D50" s="80" t="s">
        <v>508</v>
      </c>
      <c r="E50" s="123" t="s">
        <v>509</v>
      </c>
      <c r="F50" s="81">
        <v>1.0</v>
      </c>
      <c r="G50" s="80"/>
      <c r="I50" s="133" t="s">
        <v>455</v>
      </c>
      <c r="J50" s="17"/>
      <c r="K50" s="91" t="s">
        <v>87</v>
      </c>
      <c r="L50" s="127" t="s">
        <v>456</v>
      </c>
      <c r="M50" s="122">
        <v>1.0</v>
      </c>
      <c r="N50" s="91"/>
    </row>
    <row r="51">
      <c r="B51" s="78" t="s">
        <v>510</v>
      </c>
      <c r="C51" s="79"/>
      <c r="D51" s="80" t="s">
        <v>78</v>
      </c>
      <c r="E51" s="123" t="s">
        <v>78</v>
      </c>
      <c r="F51" s="81">
        <v>1.0</v>
      </c>
      <c r="G51" s="80"/>
      <c r="I51" s="137" t="s">
        <v>151</v>
      </c>
      <c r="J51" s="79"/>
      <c r="K51" s="80" t="s">
        <v>120</v>
      </c>
      <c r="L51" s="80" t="s">
        <v>460</v>
      </c>
      <c r="M51" s="81">
        <v>1.0</v>
      </c>
      <c r="N51" s="80" t="s">
        <v>463</v>
      </c>
    </row>
    <row r="52">
      <c r="B52" s="78" t="s">
        <v>511</v>
      </c>
      <c r="C52" s="79"/>
      <c r="D52" s="80" t="s">
        <v>502</v>
      </c>
      <c r="E52" s="123" t="s">
        <v>78</v>
      </c>
      <c r="F52" s="81">
        <v>2.0</v>
      </c>
      <c r="G52" s="80"/>
      <c r="I52" s="78" t="s">
        <v>459</v>
      </c>
      <c r="J52" s="79"/>
      <c r="K52" s="80" t="s">
        <v>87</v>
      </c>
      <c r="L52" s="80" t="s">
        <v>512</v>
      </c>
      <c r="M52" s="81">
        <v>1.0</v>
      </c>
      <c r="N52" s="80" t="s">
        <v>463</v>
      </c>
    </row>
    <row r="53">
      <c r="B53" s="142"/>
      <c r="C53" s="142"/>
      <c r="D53" s="80"/>
      <c r="E53" s="123"/>
      <c r="F53" s="81"/>
      <c r="G53" s="80"/>
      <c r="I53" s="143" t="s">
        <v>513</v>
      </c>
      <c r="J53" s="79"/>
      <c r="K53" s="144" t="s">
        <v>87</v>
      </c>
      <c r="L53" s="144" t="s">
        <v>78</v>
      </c>
      <c r="M53" s="144">
        <v>1.0</v>
      </c>
      <c r="N53" s="80"/>
    </row>
    <row r="54">
      <c r="B54" s="78" t="s">
        <v>74</v>
      </c>
      <c r="C54" s="79"/>
      <c r="D54" s="80" t="s">
        <v>253</v>
      </c>
      <c r="E54" s="123" t="s">
        <v>78</v>
      </c>
      <c r="F54" s="81">
        <v>1.0</v>
      </c>
      <c r="G54" s="80"/>
      <c r="I54" s="145" t="s">
        <v>470</v>
      </c>
      <c r="J54" s="17"/>
      <c r="K54" s="72" t="s">
        <v>120</v>
      </c>
      <c r="L54" s="72" t="s">
        <v>471</v>
      </c>
      <c r="M54" s="72">
        <v>1.0</v>
      </c>
      <c r="N54" s="80" t="s">
        <v>463</v>
      </c>
    </row>
    <row r="55">
      <c r="B55" s="78" t="s">
        <v>74</v>
      </c>
      <c r="C55" s="79"/>
      <c r="D55" s="80" t="s">
        <v>75</v>
      </c>
      <c r="E55" s="123" t="s">
        <v>76</v>
      </c>
      <c r="F55" s="81">
        <v>1.0</v>
      </c>
      <c r="G55" s="80"/>
      <c r="I55" s="145" t="s">
        <v>474</v>
      </c>
      <c r="J55" s="17"/>
      <c r="K55" s="72" t="s">
        <v>120</v>
      </c>
      <c r="L55" s="72" t="s">
        <v>475</v>
      </c>
      <c r="M55" s="72">
        <v>1.0</v>
      </c>
      <c r="N55" s="80" t="s">
        <v>463</v>
      </c>
    </row>
    <row r="56">
      <c r="B56" s="142"/>
      <c r="C56" s="142"/>
      <c r="D56" s="80"/>
      <c r="E56" s="123"/>
      <c r="F56" s="81"/>
      <c r="G56" s="80"/>
      <c r="I56" s="72" t="s">
        <v>514</v>
      </c>
      <c r="J56" s="72"/>
      <c r="K56" s="72" t="s">
        <v>120</v>
      </c>
      <c r="L56" s="72" t="s">
        <v>515</v>
      </c>
      <c r="M56" s="72">
        <v>1.0</v>
      </c>
      <c r="N56" s="144"/>
    </row>
    <row r="57">
      <c r="B57" s="142"/>
      <c r="C57" s="142"/>
      <c r="D57" s="80"/>
      <c r="E57" s="123"/>
      <c r="F57" s="81"/>
      <c r="G57" s="80"/>
      <c r="I57" s="72" t="s">
        <v>516</v>
      </c>
      <c r="J57" s="72"/>
      <c r="K57" s="72" t="s">
        <v>120</v>
      </c>
      <c r="L57" s="72" t="s">
        <v>473</v>
      </c>
      <c r="M57" s="72">
        <v>1.0</v>
      </c>
      <c r="N57" s="144"/>
    </row>
    <row r="58">
      <c r="B58" s="142"/>
      <c r="C58" s="142"/>
      <c r="D58" s="80"/>
      <c r="E58" s="123"/>
      <c r="F58" s="81"/>
      <c r="G58" s="80"/>
      <c r="I58" s="145" t="s">
        <v>517</v>
      </c>
      <c r="J58" s="17"/>
      <c r="K58" s="72" t="s">
        <v>118</v>
      </c>
      <c r="L58" s="72" t="s">
        <v>518</v>
      </c>
      <c r="M58" s="72">
        <v>1.0</v>
      </c>
      <c r="N58" s="144"/>
    </row>
    <row r="59">
      <c r="B59" s="78" t="s">
        <v>519</v>
      </c>
      <c r="C59" s="79"/>
      <c r="D59" s="80" t="s">
        <v>520</v>
      </c>
      <c r="E59" s="123" t="s">
        <v>521</v>
      </c>
      <c r="F59" s="81">
        <v>1.0</v>
      </c>
      <c r="G59" s="80"/>
      <c r="I59" s="73" t="s">
        <v>472</v>
      </c>
      <c r="J59" s="17"/>
      <c r="K59" s="72" t="s">
        <v>78</v>
      </c>
      <c r="L59" s="72" t="s">
        <v>78</v>
      </c>
      <c r="M59" s="72">
        <v>1.0</v>
      </c>
      <c r="N59" s="72" t="s">
        <v>463</v>
      </c>
    </row>
    <row r="60">
      <c r="B60" s="78" t="s">
        <v>519</v>
      </c>
      <c r="C60" s="79"/>
      <c r="D60" s="80" t="s">
        <v>502</v>
      </c>
      <c r="E60" s="123">
        <v>533112.0</v>
      </c>
      <c r="F60" s="81">
        <v>1.0</v>
      </c>
      <c r="G60" s="80"/>
      <c r="I60" s="145" t="s">
        <v>522</v>
      </c>
      <c r="J60" s="17"/>
      <c r="K60" s="72" t="s">
        <v>87</v>
      </c>
      <c r="L60" s="72" t="s">
        <v>523</v>
      </c>
      <c r="M60" s="72">
        <v>1.0</v>
      </c>
      <c r="N60" s="72" t="s">
        <v>463</v>
      </c>
    </row>
    <row r="61">
      <c r="B61" s="142"/>
      <c r="C61" s="142"/>
      <c r="D61" s="80"/>
      <c r="E61" s="123"/>
      <c r="F61" s="81"/>
      <c r="G61" s="80"/>
      <c r="I61" s="72" t="s">
        <v>524</v>
      </c>
      <c r="J61" s="72"/>
      <c r="K61" s="72" t="s">
        <v>87</v>
      </c>
      <c r="L61" s="72" t="s">
        <v>78</v>
      </c>
      <c r="M61" s="72">
        <v>1.0</v>
      </c>
      <c r="N61" s="72"/>
    </row>
    <row r="62">
      <c r="B62" s="142"/>
      <c r="C62" s="142"/>
      <c r="D62" s="80"/>
      <c r="E62" s="123"/>
      <c r="F62" s="81"/>
      <c r="G62" s="80"/>
      <c r="I62" s="73" t="s">
        <v>525</v>
      </c>
      <c r="J62" s="17"/>
      <c r="K62" s="72" t="s">
        <v>78</v>
      </c>
      <c r="L62" s="72" t="s">
        <v>78</v>
      </c>
      <c r="M62" s="72">
        <v>1.0</v>
      </c>
      <c r="N62" s="72"/>
    </row>
    <row r="63">
      <c r="B63" s="78" t="s">
        <v>526</v>
      </c>
      <c r="C63" s="79"/>
      <c r="D63" s="80" t="s">
        <v>78</v>
      </c>
      <c r="E63" s="123" t="s">
        <v>78</v>
      </c>
      <c r="F63" s="81">
        <v>1.0</v>
      </c>
      <c r="G63" s="80"/>
      <c r="I63" s="73" t="s">
        <v>461</v>
      </c>
      <c r="J63" s="17"/>
      <c r="K63" s="72" t="s">
        <v>69</v>
      </c>
      <c r="L63" s="72">
        <v>4.39</v>
      </c>
      <c r="M63" s="72">
        <v>1.0</v>
      </c>
      <c r="N63" s="72" t="s">
        <v>463</v>
      </c>
    </row>
    <row r="64">
      <c r="B64" s="142"/>
      <c r="C64" s="142"/>
      <c r="D64" s="80"/>
      <c r="E64" s="123"/>
      <c r="F64" s="81"/>
      <c r="G64" s="80"/>
      <c r="I64" s="142" t="s">
        <v>527</v>
      </c>
      <c r="J64" s="142"/>
      <c r="K64" s="80" t="s">
        <v>78</v>
      </c>
      <c r="L64" s="80" t="s">
        <v>78</v>
      </c>
      <c r="M64" s="81">
        <v>1.0</v>
      </c>
      <c r="N64" s="80"/>
    </row>
    <row r="65">
      <c r="B65" s="142"/>
      <c r="C65" s="142"/>
      <c r="D65" s="80"/>
      <c r="E65" s="123"/>
      <c r="F65" s="81"/>
      <c r="G65" s="80"/>
      <c r="I65" s="142" t="s">
        <v>528</v>
      </c>
      <c r="J65" s="142"/>
      <c r="K65" s="80" t="s">
        <v>69</v>
      </c>
      <c r="L65" s="80" t="s">
        <v>78</v>
      </c>
      <c r="M65" s="81">
        <v>1.0</v>
      </c>
      <c r="N65" s="80"/>
    </row>
    <row r="66">
      <c r="B66" s="142"/>
      <c r="C66" s="142"/>
      <c r="D66" s="80"/>
      <c r="E66" s="123"/>
      <c r="F66" s="81"/>
      <c r="G66" s="80"/>
      <c r="I66" s="137" t="s">
        <v>80</v>
      </c>
      <c r="J66" s="79"/>
      <c r="K66" s="146" t="s">
        <v>222</v>
      </c>
      <c r="L66" s="146" t="s">
        <v>78</v>
      </c>
      <c r="M66" s="147">
        <v>1.0</v>
      </c>
      <c r="N66" s="80"/>
    </row>
    <row r="67">
      <c r="B67" s="142"/>
      <c r="C67" s="142"/>
      <c r="D67" s="80"/>
      <c r="E67" s="123"/>
      <c r="F67" s="81"/>
      <c r="G67" s="80"/>
      <c r="I67" s="78" t="s">
        <v>480</v>
      </c>
      <c r="J67" s="79"/>
      <c r="K67" s="80" t="s">
        <v>87</v>
      </c>
      <c r="L67" s="80" t="s">
        <v>529</v>
      </c>
      <c r="M67" s="81"/>
      <c r="N67" s="80"/>
    </row>
    <row r="68">
      <c r="B68" s="78" t="s">
        <v>530</v>
      </c>
      <c r="C68" s="79"/>
      <c r="D68" s="80" t="s">
        <v>87</v>
      </c>
      <c r="E68" s="123" t="s">
        <v>531</v>
      </c>
      <c r="F68" s="81">
        <v>1.0</v>
      </c>
      <c r="G68" s="80"/>
      <c r="I68" s="78" t="s">
        <v>532</v>
      </c>
      <c r="J68" s="79"/>
      <c r="K68" s="80" t="s">
        <v>533</v>
      </c>
      <c r="L68" s="80" t="s">
        <v>534</v>
      </c>
      <c r="M68" s="81">
        <v>1.0</v>
      </c>
      <c r="N68" s="80" t="s">
        <v>463</v>
      </c>
    </row>
    <row r="69">
      <c r="B69" s="78" t="s">
        <v>535</v>
      </c>
      <c r="C69" s="79"/>
      <c r="D69" s="80" t="s">
        <v>502</v>
      </c>
      <c r="E69" s="123" t="s">
        <v>78</v>
      </c>
      <c r="F69" s="81">
        <v>1.0</v>
      </c>
      <c r="G69" s="80"/>
      <c r="I69" s="116" t="s">
        <v>38</v>
      </c>
      <c r="J69" s="17"/>
      <c r="K69" s="72"/>
      <c r="L69" s="72"/>
      <c r="M69" s="72">
        <f>SUM(M38:M68)</f>
        <v>28</v>
      </c>
      <c r="N69" s="72"/>
    </row>
    <row r="70">
      <c r="B70" s="138" t="s">
        <v>536</v>
      </c>
      <c r="C70" s="79"/>
      <c r="D70" s="139" t="s">
        <v>78</v>
      </c>
      <c r="E70" s="140" t="s">
        <v>78</v>
      </c>
      <c r="F70" s="141">
        <v>0.0</v>
      </c>
      <c r="G70" s="139" t="s">
        <v>537</v>
      </c>
      <c r="I70" s="148"/>
      <c r="J70" s="148"/>
      <c r="K70" s="148"/>
      <c r="L70" s="148"/>
      <c r="M70" s="148"/>
      <c r="N70" s="148"/>
    </row>
    <row r="71">
      <c r="B71" s="78" t="s">
        <v>514</v>
      </c>
      <c r="C71" s="79"/>
      <c r="D71" s="80" t="s">
        <v>120</v>
      </c>
      <c r="E71" s="123" t="s">
        <v>538</v>
      </c>
      <c r="F71" s="81">
        <v>1.0</v>
      </c>
      <c r="G71" s="80"/>
      <c r="I71" s="148"/>
      <c r="J71" s="148"/>
      <c r="K71" s="148"/>
      <c r="L71" s="148"/>
      <c r="M71" s="148"/>
      <c r="N71" s="148"/>
    </row>
    <row r="72">
      <c r="B72" s="78" t="s">
        <v>514</v>
      </c>
      <c r="C72" s="79"/>
      <c r="D72" s="80" t="s">
        <v>232</v>
      </c>
      <c r="E72" s="123" t="s">
        <v>539</v>
      </c>
      <c r="F72" s="81">
        <v>1.0</v>
      </c>
      <c r="G72" s="80"/>
      <c r="I72" s="148"/>
      <c r="J72" s="148"/>
      <c r="K72" s="148"/>
      <c r="L72" s="148"/>
      <c r="M72" s="148"/>
      <c r="N72" s="148"/>
    </row>
    <row r="73">
      <c r="B73" s="78" t="s">
        <v>514</v>
      </c>
      <c r="C73" s="79"/>
      <c r="D73" s="80" t="s">
        <v>232</v>
      </c>
      <c r="E73" s="123" t="s">
        <v>540</v>
      </c>
      <c r="F73" s="81">
        <v>1.0</v>
      </c>
      <c r="G73" s="80"/>
    </row>
    <row r="74">
      <c r="B74" s="78" t="s">
        <v>541</v>
      </c>
      <c r="C74" s="79"/>
      <c r="D74" s="80" t="s">
        <v>222</v>
      </c>
      <c r="E74" s="123" t="s">
        <v>78</v>
      </c>
      <c r="F74" s="81">
        <v>2.0</v>
      </c>
      <c r="G74" s="80"/>
    </row>
    <row r="75">
      <c r="B75" s="78" t="s">
        <v>542</v>
      </c>
      <c r="C75" s="79"/>
      <c r="D75" s="80" t="s">
        <v>78</v>
      </c>
      <c r="E75" s="123" t="s">
        <v>78</v>
      </c>
      <c r="F75" s="81">
        <v>2.0</v>
      </c>
      <c r="G75" s="80"/>
    </row>
    <row r="76">
      <c r="B76" s="78" t="s">
        <v>543</v>
      </c>
      <c r="C76" s="79"/>
      <c r="D76" s="80" t="s">
        <v>87</v>
      </c>
      <c r="E76" s="123" t="s">
        <v>78</v>
      </c>
      <c r="F76" s="81">
        <v>1.0</v>
      </c>
      <c r="G76" s="80"/>
    </row>
    <row r="77">
      <c r="B77" s="138" t="s">
        <v>544</v>
      </c>
      <c r="C77" s="79"/>
      <c r="D77" s="139" t="s">
        <v>502</v>
      </c>
      <c r="E77" s="140" t="s">
        <v>78</v>
      </c>
      <c r="F77" s="141">
        <v>1.0</v>
      </c>
      <c r="G77" s="139" t="s">
        <v>212</v>
      </c>
    </row>
    <row r="78">
      <c r="B78" s="78" t="s">
        <v>545</v>
      </c>
      <c r="C78" s="79"/>
      <c r="D78" s="80" t="s">
        <v>197</v>
      </c>
      <c r="E78" s="123" t="s">
        <v>444</v>
      </c>
      <c r="F78" s="81">
        <v>1.0</v>
      </c>
      <c r="G78" s="80"/>
    </row>
    <row r="79">
      <c r="B79" s="78" t="s">
        <v>546</v>
      </c>
      <c r="C79" s="79"/>
      <c r="D79" s="80" t="s">
        <v>78</v>
      </c>
      <c r="E79" s="123" t="s">
        <v>78</v>
      </c>
      <c r="F79" s="81">
        <v>2.0</v>
      </c>
      <c r="G79" s="80"/>
    </row>
    <row r="80">
      <c r="B80" s="78" t="s">
        <v>428</v>
      </c>
      <c r="C80" s="79"/>
      <c r="D80" s="80" t="s">
        <v>547</v>
      </c>
      <c r="E80" s="123">
        <v>4741518.0</v>
      </c>
      <c r="F80" s="81">
        <v>1.0</v>
      </c>
      <c r="G80" s="80"/>
    </row>
    <row r="81">
      <c r="B81" s="78" t="s">
        <v>548</v>
      </c>
      <c r="C81" s="79"/>
      <c r="D81" s="80" t="s">
        <v>87</v>
      </c>
      <c r="E81" s="123" t="s">
        <v>478</v>
      </c>
      <c r="F81" s="81"/>
      <c r="G81" s="80"/>
    </row>
    <row r="82">
      <c r="B82" s="78" t="s">
        <v>549</v>
      </c>
      <c r="C82" s="79"/>
      <c r="D82" s="80" t="s">
        <v>197</v>
      </c>
      <c r="E82" s="123" t="s">
        <v>78</v>
      </c>
      <c r="F82" s="81">
        <v>1.0</v>
      </c>
      <c r="G82" s="80"/>
    </row>
    <row r="83">
      <c r="B83" s="78" t="s">
        <v>513</v>
      </c>
      <c r="C83" s="79"/>
      <c r="D83" s="80" t="s">
        <v>78</v>
      </c>
      <c r="E83" s="123" t="s">
        <v>78</v>
      </c>
      <c r="F83" s="81">
        <v>1.0</v>
      </c>
      <c r="G83" s="80"/>
    </row>
    <row r="84">
      <c r="B84" s="78" t="s">
        <v>550</v>
      </c>
      <c r="C84" s="79"/>
      <c r="D84" s="80" t="s">
        <v>197</v>
      </c>
      <c r="E84" s="123" t="s">
        <v>551</v>
      </c>
      <c r="F84" s="81">
        <v>1.0</v>
      </c>
      <c r="G84" s="80"/>
    </row>
    <row r="85">
      <c r="B85" s="78" t="s">
        <v>552</v>
      </c>
      <c r="C85" s="79"/>
      <c r="D85" s="80" t="s">
        <v>78</v>
      </c>
      <c r="E85" s="123" t="s">
        <v>78</v>
      </c>
      <c r="F85" s="81">
        <v>1.0</v>
      </c>
      <c r="G85" s="80"/>
    </row>
    <row r="86">
      <c r="B86" s="78" t="s">
        <v>550</v>
      </c>
      <c r="C86" s="79"/>
      <c r="D86" s="80" t="s">
        <v>87</v>
      </c>
      <c r="E86" s="123" t="s">
        <v>78</v>
      </c>
      <c r="F86" s="81">
        <v>1.0</v>
      </c>
      <c r="G86" s="80"/>
    </row>
    <row r="87">
      <c r="B87" s="78" t="s">
        <v>553</v>
      </c>
      <c r="C87" s="79"/>
      <c r="D87" s="80" t="s">
        <v>78</v>
      </c>
      <c r="E87" s="123" t="s">
        <v>78</v>
      </c>
      <c r="F87" s="81">
        <v>1.0</v>
      </c>
      <c r="G87" s="80"/>
    </row>
    <row r="88">
      <c r="B88" s="116"/>
      <c r="C88" s="17"/>
      <c r="D88" s="72"/>
      <c r="E88" s="72"/>
      <c r="F88" s="72">
        <f>SUM(F38:F87)</f>
        <v>42</v>
      </c>
      <c r="G88" s="72"/>
    </row>
    <row r="89">
      <c r="B89" s="73" t="s">
        <v>554</v>
      </c>
      <c r="C89" s="16"/>
      <c r="D89" s="16"/>
      <c r="E89" s="16"/>
      <c r="F89" s="17"/>
      <c r="G89" s="148"/>
    </row>
    <row r="90">
      <c r="B90" s="149" t="s">
        <v>555</v>
      </c>
      <c r="C90" s="72"/>
      <c r="D90" s="72" t="s">
        <v>556</v>
      </c>
      <c r="E90" s="72" t="s">
        <v>78</v>
      </c>
      <c r="F90" s="72">
        <v>1.0</v>
      </c>
      <c r="G90" s="148"/>
      <c r="H90" s="106"/>
    </row>
    <row r="91">
      <c r="B91" s="72" t="s">
        <v>557</v>
      </c>
      <c r="C91" s="72"/>
      <c r="D91" s="72" t="s">
        <v>120</v>
      </c>
      <c r="E91" s="72">
        <v>8.38111</v>
      </c>
      <c r="F91" s="72"/>
      <c r="G91" s="148"/>
    </row>
    <row r="92">
      <c r="B92" s="72" t="s">
        <v>558</v>
      </c>
      <c r="C92" s="72"/>
      <c r="D92" s="72" t="s">
        <v>120</v>
      </c>
      <c r="E92" s="72" t="s">
        <v>559</v>
      </c>
      <c r="F92" s="72">
        <v>1.0</v>
      </c>
      <c r="G92" s="148"/>
    </row>
    <row r="93">
      <c r="B93" s="24"/>
      <c r="C93" s="24"/>
      <c r="D93" s="24"/>
      <c r="E93" s="24"/>
      <c r="F93" s="24"/>
    </row>
    <row r="108">
      <c r="H108" s="106"/>
    </row>
    <row r="109">
      <c r="H109" s="106"/>
    </row>
  </sheetData>
  <mergeCells count="135"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8:J28"/>
    <mergeCell ref="I29:J29"/>
    <mergeCell ref="I30:J30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62:J62"/>
    <mergeCell ref="I63:J63"/>
    <mergeCell ref="I66:J66"/>
    <mergeCell ref="I67:J67"/>
    <mergeCell ref="I68:J68"/>
    <mergeCell ref="I69:J69"/>
    <mergeCell ref="I52:J52"/>
    <mergeCell ref="I53:J53"/>
    <mergeCell ref="I54:J54"/>
    <mergeCell ref="I55:J55"/>
    <mergeCell ref="I58:J58"/>
    <mergeCell ref="I59:J59"/>
    <mergeCell ref="I60:J60"/>
    <mergeCell ref="B22:C22"/>
    <mergeCell ref="B23:C23"/>
    <mergeCell ref="B24:C24"/>
    <mergeCell ref="B25:C25"/>
    <mergeCell ref="B26:C26"/>
    <mergeCell ref="B27:C27"/>
    <mergeCell ref="B34:G34"/>
    <mergeCell ref="B35:G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4:C54"/>
    <mergeCell ref="B55:C55"/>
    <mergeCell ref="B59:C59"/>
    <mergeCell ref="B60:C60"/>
    <mergeCell ref="B63:C63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7:C87"/>
    <mergeCell ref="B88:C88"/>
    <mergeCell ref="B89:F89"/>
    <mergeCell ref="B80:C80"/>
    <mergeCell ref="B81:C81"/>
    <mergeCell ref="B82:C82"/>
    <mergeCell ref="B83:C83"/>
    <mergeCell ref="B84:C84"/>
    <mergeCell ref="B85:C85"/>
    <mergeCell ref="B86:C86"/>
    <mergeCell ref="I3:J3"/>
    <mergeCell ref="I4:J4"/>
    <mergeCell ref="B1:G1"/>
    <mergeCell ref="I1:N1"/>
    <mergeCell ref="B2:G2"/>
    <mergeCell ref="I2:N2"/>
    <mergeCell ref="B3:C3"/>
    <mergeCell ref="B4:C4"/>
    <mergeCell ref="D4:G4"/>
    <mergeCell ref="B5:C5"/>
    <mergeCell ref="I5:J5"/>
    <mergeCell ref="B6:C6"/>
    <mergeCell ref="I6:J6"/>
    <mergeCell ref="B7:C7"/>
    <mergeCell ref="I7:J7"/>
    <mergeCell ref="I8:J8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I25:J25"/>
    <mergeCell ref="I26:J26"/>
    <mergeCell ref="I27:J27"/>
    <mergeCell ref="I34:N34"/>
    <mergeCell ref="I35:N35"/>
    <mergeCell ref="I9:J9"/>
    <mergeCell ref="I10:J10"/>
    <mergeCell ref="I11:J11"/>
    <mergeCell ref="I12:J12"/>
    <mergeCell ref="I13:J13"/>
    <mergeCell ref="I14:J14"/>
    <mergeCell ref="I15:J15"/>
  </mergeCell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43"/>
    <col customWidth="1" min="7" max="7" width="22.14"/>
    <col customWidth="1" min="9" max="9" width="15.71"/>
    <col customWidth="1" min="14" max="14" width="16.14"/>
    <col customWidth="1" min="17" max="17" width="17.43"/>
    <col customWidth="1" min="18" max="18" width="17.57"/>
    <col customWidth="1" min="19" max="19" width="17.43"/>
    <col customWidth="1" min="21" max="21" width="27.71"/>
  </cols>
  <sheetData>
    <row r="2">
      <c r="B2" s="28" t="s">
        <v>58</v>
      </c>
      <c r="C2" s="16"/>
      <c r="D2" s="16"/>
      <c r="E2" s="16"/>
      <c r="F2" s="16"/>
      <c r="G2" s="17"/>
      <c r="H2" s="150"/>
      <c r="I2" s="28"/>
      <c r="J2" s="16"/>
      <c r="K2" s="16"/>
      <c r="L2" s="16"/>
      <c r="M2" s="16"/>
      <c r="N2" s="17"/>
      <c r="P2" s="151"/>
    </row>
    <row r="3">
      <c r="B3" s="28" t="s">
        <v>14</v>
      </c>
      <c r="C3" s="16"/>
      <c r="D3" s="16"/>
      <c r="E3" s="16"/>
      <c r="F3" s="16"/>
      <c r="G3" s="17"/>
      <c r="H3" s="150"/>
      <c r="I3" s="28" t="s">
        <v>14</v>
      </c>
      <c r="J3" s="16"/>
      <c r="K3" s="16"/>
      <c r="L3" s="16"/>
      <c r="M3" s="16"/>
      <c r="N3" s="17"/>
      <c r="P3" s="151"/>
    </row>
    <row r="4">
      <c r="B4" s="117" t="s">
        <v>60</v>
      </c>
      <c r="C4" s="79"/>
      <c r="D4" s="118" t="s">
        <v>16</v>
      </c>
      <c r="E4" s="118" t="s">
        <v>17</v>
      </c>
      <c r="F4" s="118" t="s">
        <v>18</v>
      </c>
      <c r="G4" s="119" t="s">
        <v>19</v>
      </c>
      <c r="H4" s="152"/>
      <c r="I4" s="57" t="s">
        <v>60</v>
      </c>
      <c r="J4" s="17"/>
      <c r="K4" s="58" t="s">
        <v>16</v>
      </c>
      <c r="L4" s="58" t="s">
        <v>17</v>
      </c>
      <c r="M4" s="58" t="s">
        <v>18</v>
      </c>
      <c r="N4" s="58" t="s">
        <v>19</v>
      </c>
      <c r="P4" s="153"/>
      <c r="R4" s="153"/>
      <c r="S4" s="153"/>
      <c r="T4" s="153"/>
      <c r="U4" s="153"/>
    </row>
    <row r="5">
      <c r="B5" s="117" t="s">
        <v>560</v>
      </c>
      <c r="C5" s="79"/>
      <c r="D5" s="119" t="s">
        <v>561</v>
      </c>
      <c r="E5" s="34"/>
      <c r="F5" s="34"/>
      <c r="G5" s="79"/>
      <c r="I5" s="154" t="s">
        <v>562</v>
      </c>
      <c r="J5" s="17"/>
      <c r="K5" s="28" t="s">
        <v>563</v>
      </c>
      <c r="L5" s="16"/>
      <c r="M5" s="16"/>
      <c r="N5" s="17"/>
      <c r="P5" s="155"/>
      <c r="R5" s="151"/>
    </row>
    <row r="6">
      <c r="B6" s="78" t="s">
        <v>269</v>
      </c>
      <c r="C6" s="79"/>
      <c r="D6" s="80" t="s">
        <v>87</v>
      </c>
      <c r="E6" s="80" t="s">
        <v>564</v>
      </c>
      <c r="F6" s="81">
        <v>1.0</v>
      </c>
      <c r="G6" s="80"/>
      <c r="I6" s="115" t="s">
        <v>260</v>
      </c>
      <c r="J6" s="17"/>
      <c r="K6" s="156" t="s">
        <v>78</v>
      </c>
      <c r="L6" s="156" t="s">
        <v>78</v>
      </c>
      <c r="M6" s="157">
        <v>1.0</v>
      </c>
      <c r="N6" s="42"/>
      <c r="P6" s="10"/>
      <c r="R6" s="10"/>
      <c r="S6" s="10"/>
      <c r="T6" s="10"/>
      <c r="U6" s="10"/>
    </row>
    <row r="7">
      <c r="B7" s="78" t="s">
        <v>565</v>
      </c>
      <c r="C7" s="79"/>
      <c r="D7" s="80" t="s">
        <v>23</v>
      </c>
      <c r="E7" s="80" t="s">
        <v>566</v>
      </c>
      <c r="F7" s="81">
        <v>1.0</v>
      </c>
      <c r="G7" s="80"/>
      <c r="I7" s="78" t="s">
        <v>90</v>
      </c>
      <c r="J7" s="79"/>
      <c r="K7" s="80" t="s">
        <v>78</v>
      </c>
      <c r="L7" s="80" t="s">
        <v>78</v>
      </c>
      <c r="M7" s="81">
        <v>2.0</v>
      </c>
      <c r="N7" s="42"/>
      <c r="P7" s="10"/>
    </row>
    <row r="8">
      <c r="B8" s="78" t="s">
        <v>199</v>
      </c>
      <c r="C8" s="79"/>
      <c r="D8" s="80" t="s">
        <v>75</v>
      </c>
      <c r="E8" s="80" t="s">
        <v>325</v>
      </c>
      <c r="F8" s="81">
        <v>1.0</v>
      </c>
      <c r="G8" s="80"/>
      <c r="I8" s="41" t="s">
        <v>567</v>
      </c>
      <c r="J8" s="17"/>
      <c r="K8" s="42" t="s">
        <v>87</v>
      </c>
      <c r="L8" s="42" t="s">
        <v>217</v>
      </c>
      <c r="M8" s="42">
        <v>2.0</v>
      </c>
      <c r="N8" s="42"/>
      <c r="P8" s="10"/>
    </row>
    <row r="9">
      <c r="B9" s="78" t="s">
        <v>568</v>
      </c>
      <c r="C9" s="79"/>
      <c r="D9" s="80" t="s">
        <v>78</v>
      </c>
      <c r="E9" s="123" t="s">
        <v>78</v>
      </c>
      <c r="F9" s="81">
        <v>2.0</v>
      </c>
      <c r="G9" s="80"/>
      <c r="I9" s="73" t="s">
        <v>271</v>
      </c>
      <c r="J9" s="17"/>
      <c r="K9" s="91" t="s">
        <v>222</v>
      </c>
      <c r="L9" s="92">
        <v>819536.0</v>
      </c>
      <c r="M9" s="72">
        <v>2.0</v>
      </c>
      <c r="N9" s="42"/>
      <c r="P9" s="10"/>
    </row>
    <row r="10">
      <c r="B10" s="78" t="s">
        <v>569</v>
      </c>
      <c r="C10" s="79"/>
      <c r="D10" s="80" t="s">
        <v>75</v>
      </c>
      <c r="E10" s="123" t="s">
        <v>280</v>
      </c>
      <c r="F10" s="81">
        <v>1.0</v>
      </c>
      <c r="G10" s="80"/>
      <c r="I10" s="115" t="s">
        <v>273</v>
      </c>
      <c r="J10" s="17"/>
      <c r="K10" s="156" t="s">
        <v>87</v>
      </c>
      <c r="L10" s="156" t="s">
        <v>292</v>
      </c>
      <c r="M10" s="157">
        <v>1.0</v>
      </c>
      <c r="N10" s="72"/>
      <c r="P10" s="10"/>
    </row>
    <row r="11">
      <c r="B11" s="78" t="s">
        <v>273</v>
      </c>
      <c r="C11" s="79"/>
      <c r="D11" s="80" t="s">
        <v>87</v>
      </c>
      <c r="E11" s="80" t="s">
        <v>570</v>
      </c>
      <c r="F11" s="81">
        <v>1.0</v>
      </c>
      <c r="G11" s="80"/>
      <c r="I11" s="73" t="s">
        <v>275</v>
      </c>
      <c r="J11" s="17"/>
      <c r="K11" s="72" t="s">
        <v>87</v>
      </c>
      <c r="L11" s="72" t="s">
        <v>78</v>
      </c>
      <c r="M11" s="72">
        <v>2.0</v>
      </c>
      <c r="N11" s="72"/>
      <c r="P11" s="10"/>
    </row>
    <row r="12">
      <c r="B12" s="78" t="s">
        <v>571</v>
      </c>
      <c r="C12" s="79"/>
      <c r="D12" s="80" t="s">
        <v>78</v>
      </c>
      <c r="E12" s="80" t="s">
        <v>78</v>
      </c>
      <c r="F12" s="81">
        <v>1.0</v>
      </c>
      <c r="G12" s="80"/>
      <c r="I12" s="73" t="s">
        <v>103</v>
      </c>
      <c r="J12" s="17"/>
      <c r="K12" s="72" t="s">
        <v>222</v>
      </c>
      <c r="L12" s="72" t="s">
        <v>78</v>
      </c>
      <c r="M12" s="72">
        <v>2.0</v>
      </c>
      <c r="N12" s="72"/>
      <c r="P12" s="10"/>
    </row>
    <row r="13">
      <c r="B13" s="78" t="s">
        <v>572</v>
      </c>
      <c r="C13" s="79"/>
      <c r="D13" s="80" t="s">
        <v>78</v>
      </c>
      <c r="E13" s="80" t="s">
        <v>78</v>
      </c>
      <c r="F13" s="81">
        <v>1.0</v>
      </c>
      <c r="G13" s="80"/>
      <c r="I13" s="73" t="s">
        <v>573</v>
      </c>
      <c r="J13" s="17"/>
      <c r="K13" s="72" t="s">
        <v>78</v>
      </c>
      <c r="L13" s="72" t="s">
        <v>574</v>
      </c>
      <c r="M13" s="72">
        <v>1.0</v>
      </c>
      <c r="N13" s="72"/>
      <c r="P13" s="10"/>
    </row>
    <row r="14">
      <c r="B14" s="78" t="s">
        <v>158</v>
      </c>
      <c r="C14" s="79"/>
      <c r="D14" s="80" t="s">
        <v>23</v>
      </c>
      <c r="E14" s="80" t="s">
        <v>575</v>
      </c>
      <c r="F14" s="81">
        <v>1.0</v>
      </c>
      <c r="G14" s="80"/>
      <c r="I14" s="115" t="s">
        <v>576</v>
      </c>
      <c r="J14" s="17"/>
      <c r="K14" s="72" t="s">
        <v>87</v>
      </c>
      <c r="L14" s="72" t="s">
        <v>78</v>
      </c>
      <c r="M14" s="72">
        <v>1.0</v>
      </c>
      <c r="N14" s="72"/>
      <c r="P14" s="10"/>
    </row>
    <row r="15">
      <c r="B15" s="78" t="s">
        <v>275</v>
      </c>
      <c r="C15" s="79"/>
      <c r="D15" s="80" t="s">
        <v>75</v>
      </c>
      <c r="E15" s="80" t="s">
        <v>108</v>
      </c>
      <c r="F15" s="81">
        <v>1.0</v>
      </c>
      <c r="G15" s="80"/>
      <c r="I15" s="73" t="s">
        <v>577</v>
      </c>
      <c r="J15" s="17"/>
      <c r="K15" s="72" t="s">
        <v>289</v>
      </c>
      <c r="L15" s="72" t="s">
        <v>578</v>
      </c>
      <c r="M15" s="72">
        <v>1.0</v>
      </c>
      <c r="N15" s="72"/>
      <c r="P15" s="10"/>
    </row>
    <row r="16">
      <c r="B16" s="78" t="s">
        <v>275</v>
      </c>
      <c r="C16" s="79"/>
      <c r="D16" s="80" t="s">
        <v>75</v>
      </c>
      <c r="E16" s="80" t="s">
        <v>105</v>
      </c>
      <c r="F16" s="81">
        <v>1.0</v>
      </c>
      <c r="G16" s="80"/>
      <c r="I16" s="73" t="s">
        <v>101</v>
      </c>
      <c r="J16" s="17"/>
      <c r="K16" s="72" t="s">
        <v>78</v>
      </c>
      <c r="L16" s="72" t="s">
        <v>78</v>
      </c>
      <c r="M16" s="72">
        <v>1.0</v>
      </c>
      <c r="N16" s="72"/>
      <c r="P16" s="10"/>
    </row>
    <row r="17">
      <c r="B17" s="78" t="s">
        <v>579</v>
      </c>
      <c r="C17" s="79"/>
      <c r="D17" s="80" t="s">
        <v>75</v>
      </c>
      <c r="E17" s="80" t="s">
        <v>580</v>
      </c>
      <c r="F17" s="81">
        <v>1.0</v>
      </c>
      <c r="G17" s="80"/>
      <c r="I17" s="73" t="s">
        <v>153</v>
      </c>
      <c r="J17" s="17"/>
      <c r="K17" s="72" t="s">
        <v>78</v>
      </c>
      <c r="L17" s="72" t="s">
        <v>78</v>
      </c>
      <c r="M17" s="72">
        <v>1.0</v>
      </c>
      <c r="N17" s="72"/>
      <c r="P17" s="10"/>
    </row>
    <row r="18">
      <c r="B18" s="78" t="s">
        <v>74</v>
      </c>
      <c r="C18" s="79"/>
      <c r="D18" s="80" t="s">
        <v>78</v>
      </c>
      <c r="E18" s="80" t="s">
        <v>78</v>
      </c>
      <c r="F18" s="81">
        <v>1.0</v>
      </c>
      <c r="G18" s="80"/>
      <c r="I18" s="73" t="s">
        <v>581</v>
      </c>
      <c r="J18" s="17"/>
      <c r="K18" s="72" t="s">
        <v>87</v>
      </c>
      <c r="L18" s="72" t="s">
        <v>78</v>
      </c>
      <c r="M18" s="72">
        <v>1.0</v>
      </c>
      <c r="N18" s="72"/>
      <c r="P18" s="10"/>
    </row>
    <row r="19">
      <c r="B19" s="78" t="s">
        <v>582</v>
      </c>
      <c r="C19" s="79"/>
      <c r="D19" s="80" t="s">
        <v>75</v>
      </c>
      <c r="E19" s="80" t="s">
        <v>583</v>
      </c>
      <c r="F19" s="81">
        <v>1.0</v>
      </c>
      <c r="G19" s="80"/>
      <c r="I19" s="73" t="s">
        <v>294</v>
      </c>
      <c r="J19" s="17"/>
      <c r="K19" s="72" t="s">
        <v>78</v>
      </c>
      <c r="L19" s="72" t="s">
        <v>78</v>
      </c>
      <c r="M19" s="72">
        <v>3.0</v>
      </c>
      <c r="N19" s="72"/>
      <c r="P19" s="10"/>
    </row>
    <row r="20">
      <c r="B20" s="78" t="s">
        <v>584</v>
      </c>
      <c r="C20" s="79"/>
      <c r="D20" s="80" t="s">
        <v>75</v>
      </c>
      <c r="E20" s="80" t="s">
        <v>585</v>
      </c>
      <c r="F20" s="81">
        <v>1.0</v>
      </c>
      <c r="G20" s="80"/>
      <c r="I20" s="73" t="s">
        <v>80</v>
      </c>
      <c r="J20" s="17"/>
      <c r="K20" s="72" t="s">
        <v>222</v>
      </c>
      <c r="L20" s="72" t="s">
        <v>78</v>
      </c>
      <c r="M20" s="72">
        <v>2.0</v>
      </c>
      <c r="N20" s="72"/>
      <c r="P20" s="10"/>
    </row>
    <row r="21">
      <c r="B21" s="78" t="s">
        <v>586</v>
      </c>
      <c r="C21" s="79"/>
      <c r="D21" s="80" t="s">
        <v>75</v>
      </c>
      <c r="E21" s="80" t="s">
        <v>587</v>
      </c>
      <c r="F21" s="81">
        <v>1.0</v>
      </c>
      <c r="G21" s="80"/>
      <c r="I21" s="73" t="s">
        <v>588</v>
      </c>
      <c r="J21" s="17"/>
      <c r="K21" s="72" t="s">
        <v>78</v>
      </c>
      <c r="L21" s="72" t="s">
        <v>78</v>
      </c>
      <c r="M21" s="72">
        <v>1.0</v>
      </c>
      <c r="N21" s="72"/>
      <c r="P21" s="10"/>
    </row>
    <row r="22">
      <c r="B22" s="78" t="s">
        <v>83</v>
      </c>
      <c r="C22" s="79"/>
      <c r="D22" s="80" t="s">
        <v>75</v>
      </c>
      <c r="E22" s="80" t="s">
        <v>113</v>
      </c>
      <c r="F22" s="81">
        <v>1.0</v>
      </c>
      <c r="G22" s="80"/>
      <c r="I22" s="73" t="s">
        <v>589</v>
      </c>
      <c r="J22" s="17"/>
      <c r="K22" s="72" t="s">
        <v>590</v>
      </c>
      <c r="L22" s="72">
        <v>10.17</v>
      </c>
      <c r="M22" s="72">
        <v>1.0</v>
      </c>
      <c r="N22" s="72"/>
      <c r="P22" s="10"/>
    </row>
    <row r="23">
      <c r="B23" s="78" t="s">
        <v>591</v>
      </c>
      <c r="C23" s="79"/>
      <c r="D23" s="80" t="s">
        <v>75</v>
      </c>
      <c r="E23" s="80" t="s">
        <v>592</v>
      </c>
      <c r="F23" s="81">
        <v>1.0</v>
      </c>
      <c r="G23" s="80"/>
      <c r="I23" s="78" t="s">
        <v>593</v>
      </c>
      <c r="J23" s="79"/>
      <c r="K23" s="72" t="s">
        <v>78</v>
      </c>
      <c r="L23" s="72" t="s">
        <v>78</v>
      </c>
      <c r="M23" s="72">
        <v>1.0</v>
      </c>
      <c r="N23" s="72"/>
      <c r="P23" s="10"/>
    </row>
    <row r="24">
      <c r="B24" s="78" t="s">
        <v>594</v>
      </c>
      <c r="C24" s="79"/>
      <c r="D24" s="80" t="s">
        <v>75</v>
      </c>
      <c r="E24" s="80" t="s">
        <v>595</v>
      </c>
      <c r="F24" s="81">
        <v>1.0</v>
      </c>
      <c r="G24" s="80"/>
      <c r="I24" s="73" t="s">
        <v>596</v>
      </c>
      <c r="J24" s="17"/>
      <c r="K24" s="72" t="s">
        <v>78</v>
      </c>
      <c r="L24" s="72" t="s">
        <v>78</v>
      </c>
      <c r="M24" s="72">
        <v>1.0</v>
      </c>
      <c r="N24" s="72"/>
      <c r="P24" s="10"/>
    </row>
    <row r="25">
      <c r="B25" s="78" t="s">
        <v>597</v>
      </c>
      <c r="C25" s="79"/>
      <c r="D25" s="80" t="s">
        <v>87</v>
      </c>
      <c r="E25" s="130">
        <v>1501483.0</v>
      </c>
      <c r="F25" s="81">
        <v>1.0</v>
      </c>
      <c r="G25" s="80"/>
      <c r="I25" s="73" t="s">
        <v>227</v>
      </c>
      <c r="J25" s="17"/>
      <c r="K25" s="72" t="s">
        <v>87</v>
      </c>
      <c r="L25" s="72" t="s">
        <v>88</v>
      </c>
      <c r="M25" s="72">
        <v>1.0</v>
      </c>
      <c r="N25" s="72"/>
      <c r="P25" s="10"/>
    </row>
    <row r="26">
      <c r="B26" s="78" t="s">
        <v>514</v>
      </c>
      <c r="C26" s="79"/>
      <c r="D26" s="80" t="s">
        <v>598</v>
      </c>
      <c r="E26" s="80">
        <v>1222012.0</v>
      </c>
      <c r="F26" s="81">
        <v>2.0</v>
      </c>
      <c r="G26" s="80"/>
      <c r="I26" s="73" t="s">
        <v>599</v>
      </c>
      <c r="J26" s="17"/>
      <c r="K26" s="72" t="s">
        <v>78</v>
      </c>
      <c r="L26" s="72" t="s">
        <v>78</v>
      </c>
      <c r="M26" s="72">
        <v>1.0</v>
      </c>
      <c r="N26" s="72"/>
    </row>
    <row r="27">
      <c r="B27" s="78" t="s">
        <v>600</v>
      </c>
      <c r="C27" s="79"/>
      <c r="D27" s="80" t="s">
        <v>78</v>
      </c>
      <c r="E27" s="80" t="s">
        <v>78</v>
      </c>
      <c r="F27" s="81">
        <v>1.0</v>
      </c>
      <c r="G27" s="80"/>
      <c r="I27" s="73" t="s">
        <v>601</v>
      </c>
      <c r="J27" s="17"/>
      <c r="K27" s="72" t="s">
        <v>87</v>
      </c>
      <c r="L27" s="72" t="s">
        <v>602</v>
      </c>
      <c r="M27" s="72">
        <v>1.0</v>
      </c>
      <c r="N27" s="72"/>
    </row>
    <row r="28">
      <c r="B28" s="116" t="s">
        <v>38</v>
      </c>
      <c r="C28" s="17"/>
      <c r="D28" s="72"/>
      <c r="E28" s="72"/>
      <c r="F28" s="72">
        <f>SUM(F6:F27)</f>
        <v>24</v>
      </c>
      <c r="G28" s="72"/>
      <c r="I28" s="73"/>
      <c r="J28" s="17"/>
      <c r="K28" s="148"/>
      <c r="L28" s="148"/>
      <c r="M28" s="148"/>
      <c r="N28" s="72"/>
    </row>
    <row r="29">
      <c r="B29" s="148"/>
      <c r="C29" s="148"/>
      <c r="D29" s="148"/>
      <c r="E29" s="148"/>
      <c r="F29" s="148"/>
      <c r="G29" s="148"/>
      <c r="I29" s="73"/>
      <c r="J29" s="17"/>
      <c r="K29" s="72"/>
      <c r="L29" s="72" t="s">
        <v>38</v>
      </c>
      <c r="M29" s="72">
        <f>SUM(M6:M27)</f>
        <v>30</v>
      </c>
      <c r="N29" s="72"/>
    </row>
    <row r="30">
      <c r="B30" s="28" t="s">
        <v>58</v>
      </c>
      <c r="C30" s="16"/>
      <c r="D30" s="16"/>
      <c r="E30" s="16"/>
      <c r="F30" s="16"/>
      <c r="G30" s="17"/>
      <c r="H30" s="150"/>
      <c r="I30" s="148"/>
      <c r="K30" s="148"/>
      <c r="L30" s="148"/>
      <c r="M30" s="148"/>
      <c r="N30" s="148"/>
    </row>
    <row r="31">
      <c r="B31" s="28" t="s">
        <v>14</v>
      </c>
      <c r="C31" s="16"/>
      <c r="D31" s="16"/>
      <c r="E31" s="16"/>
      <c r="F31" s="16"/>
      <c r="G31" s="17"/>
      <c r="H31" s="150"/>
      <c r="I31" s="148"/>
      <c r="K31" s="148"/>
      <c r="L31" s="148"/>
      <c r="M31" s="148"/>
      <c r="N31" s="148"/>
    </row>
    <row r="32">
      <c r="B32" s="117" t="s">
        <v>60</v>
      </c>
      <c r="C32" s="79"/>
      <c r="D32" s="118" t="s">
        <v>16</v>
      </c>
      <c r="E32" s="118" t="s">
        <v>17</v>
      </c>
      <c r="F32" s="118" t="s">
        <v>18</v>
      </c>
      <c r="G32" s="119" t="s">
        <v>19</v>
      </c>
      <c r="H32" s="152"/>
      <c r="I32" s="148"/>
      <c r="K32" s="158"/>
      <c r="L32" s="159"/>
      <c r="M32" s="148"/>
      <c r="N32" s="148"/>
    </row>
    <row r="33">
      <c r="B33" s="117" t="s">
        <v>603</v>
      </c>
      <c r="C33" s="79"/>
      <c r="D33" s="119" t="s">
        <v>604</v>
      </c>
      <c r="E33" s="34"/>
      <c r="F33" s="34"/>
      <c r="G33" s="79"/>
      <c r="I33" s="148"/>
      <c r="K33" s="158"/>
      <c r="L33" s="159"/>
      <c r="M33" s="148"/>
      <c r="N33" s="148"/>
    </row>
    <row r="34">
      <c r="B34" s="78" t="s">
        <v>206</v>
      </c>
      <c r="C34" s="79"/>
      <c r="D34" s="80" t="s">
        <v>87</v>
      </c>
      <c r="E34" s="80" t="s">
        <v>564</v>
      </c>
      <c r="F34" s="81">
        <v>1.0</v>
      </c>
      <c r="G34" s="80"/>
      <c r="I34" s="148"/>
      <c r="K34" s="158"/>
      <c r="L34" s="160"/>
      <c r="M34" s="148"/>
      <c r="N34" s="148"/>
    </row>
    <row r="35">
      <c r="B35" s="78" t="s">
        <v>565</v>
      </c>
      <c r="C35" s="79"/>
      <c r="D35" s="80" t="s">
        <v>75</v>
      </c>
      <c r="E35" s="80" t="s">
        <v>605</v>
      </c>
      <c r="F35" s="81">
        <v>1.0</v>
      </c>
      <c r="G35" s="80"/>
      <c r="I35" s="148"/>
      <c r="K35" s="158"/>
      <c r="L35" s="160"/>
      <c r="M35" s="148"/>
      <c r="N35" s="148"/>
    </row>
    <row r="36">
      <c r="B36" s="78" t="s">
        <v>199</v>
      </c>
      <c r="C36" s="79"/>
      <c r="D36" s="80" t="s">
        <v>75</v>
      </c>
      <c r="E36" s="80" t="s">
        <v>325</v>
      </c>
      <c r="F36" s="81">
        <v>1.0</v>
      </c>
      <c r="G36" s="80"/>
      <c r="I36" s="148"/>
      <c r="K36" s="158"/>
      <c r="L36" s="160"/>
      <c r="M36" s="148"/>
      <c r="N36" s="148"/>
    </row>
    <row r="37">
      <c r="B37" s="78" t="s">
        <v>568</v>
      </c>
      <c r="C37" s="79"/>
      <c r="D37" s="80" t="s">
        <v>75</v>
      </c>
      <c r="E37" s="123" t="s">
        <v>78</v>
      </c>
      <c r="F37" s="81">
        <v>2.0</v>
      </c>
      <c r="G37" s="80"/>
      <c r="I37" s="148"/>
      <c r="K37" s="158"/>
      <c r="L37" s="160"/>
      <c r="M37" s="148"/>
      <c r="N37" s="148"/>
    </row>
    <row r="38">
      <c r="B38" s="78" t="s">
        <v>569</v>
      </c>
      <c r="C38" s="79"/>
      <c r="D38" s="80" t="s">
        <v>75</v>
      </c>
      <c r="E38" s="123" t="s">
        <v>280</v>
      </c>
      <c r="F38" s="81">
        <v>1.0</v>
      </c>
      <c r="G38" s="80"/>
      <c r="I38" s="148"/>
      <c r="K38" s="158"/>
      <c r="L38" s="160"/>
      <c r="M38" s="148"/>
      <c r="N38" s="148"/>
    </row>
    <row r="39">
      <c r="B39" s="78" t="s">
        <v>273</v>
      </c>
      <c r="C39" s="79"/>
      <c r="D39" s="80" t="s">
        <v>87</v>
      </c>
      <c r="E39" s="80" t="s">
        <v>78</v>
      </c>
      <c r="F39" s="81">
        <v>1.0</v>
      </c>
      <c r="G39" s="80"/>
      <c r="I39" s="148"/>
      <c r="K39" s="158"/>
      <c r="L39" s="160"/>
      <c r="M39" s="148"/>
      <c r="N39" s="148"/>
    </row>
    <row r="40">
      <c r="B40" s="78" t="s">
        <v>571</v>
      </c>
      <c r="C40" s="79"/>
      <c r="D40" s="80" t="s">
        <v>75</v>
      </c>
      <c r="E40" s="80" t="s">
        <v>341</v>
      </c>
      <c r="F40" s="81">
        <v>1.0</v>
      </c>
      <c r="G40" s="80"/>
      <c r="I40" s="148"/>
      <c r="K40" s="158"/>
      <c r="L40" s="160"/>
      <c r="M40" s="148"/>
      <c r="N40" s="148"/>
    </row>
    <row r="41">
      <c r="B41" s="78" t="s">
        <v>572</v>
      </c>
      <c r="C41" s="79"/>
      <c r="D41" s="80" t="s">
        <v>338</v>
      </c>
      <c r="E41" s="80" t="s">
        <v>288</v>
      </c>
      <c r="F41" s="81">
        <v>1.0</v>
      </c>
      <c r="G41" s="80"/>
      <c r="I41" s="148"/>
      <c r="K41" s="158"/>
      <c r="L41" s="160"/>
      <c r="M41" s="148"/>
      <c r="N41" s="148"/>
    </row>
    <row r="42">
      <c r="B42" s="78" t="s">
        <v>158</v>
      </c>
      <c r="C42" s="79"/>
      <c r="D42" s="80" t="s">
        <v>23</v>
      </c>
      <c r="E42" s="80" t="s">
        <v>606</v>
      </c>
      <c r="F42" s="81">
        <v>1.0</v>
      </c>
      <c r="G42" s="80" t="s">
        <v>305</v>
      </c>
      <c r="I42" s="148"/>
      <c r="K42" s="158"/>
      <c r="L42" s="160"/>
      <c r="M42" s="148"/>
      <c r="N42" s="148"/>
    </row>
    <row r="43">
      <c r="B43" s="78" t="s">
        <v>275</v>
      </c>
      <c r="C43" s="79"/>
      <c r="D43" s="80" t="s">
        <v>75</v>
      </c>
      <c r="E43" s="80" t="s">
        <v>108</v>
      </c>
      <c r="F43" s="81">
        <v>1.0</v>
      </c>
      <c r="G43" s="80"/>
      <c r="I43" s="148"/>
      <c r="K43" s="158"/>
      <c r="L43" s="160"/>
      <c r="M43" s="148"/>
      <c r="N43" s="148"/>
    </row>
    <row r="44">
      <c r="B44" s="78" t="s">
        <v>275</v>
      </c>
      <c r="C44" s="79"/>
      <c r="D44" s="80" t="s">
        <v>75</v>
      </c>
      <c r="E44" s="80" t="s">
        <v>105</v>
      </c>
      <c r="F44" s="81">
        <v>1.0</v>
      </c>
      <c r="G44" s="80"/>
      <c r="I44" s="148"/>
      <c r="K44" s="158"/>
      <c r="L44" s="160"/>
      <c r="M44" s="148"/>
      <c r="N44" s="148"/>
    </row>
    <row r="45">
      <c r="B45" s="78" t="s">
        <v>579</v>
      </c>
      <c r="C45" s="79"/>
      <c r="D45" s="80" t="s">
        <v>75</v>
      </c>
      <c r="E45" s="80" t="s">
        <v>295</v>
      </c>
      <c r="F45" s="81">
        <v>1.0</v>
      </c>
      <c r="G45" s="80"/>
      <c r="I45" s="148"/>
      <c r="K45" s="158"/>
      <c r="L45" s="160"/>
      <c r="M45" s="148"/>
      <c r="N45" s="148"/>
    </row>
    <row r="46">
      <c r="B46" s="78" t="s">
        <v>74</v>
      </c>
      <c r="C46" s="79"/>
      <c r="D46" s="80" t="s">
        <v>75</v>
      </c>
      <c r="E46" s="80" t="s">
        <v>76</v>
      </c>
      <c r="F46" s="81">
        <v>1.0</v>
      </c>
      <c r="G46" s="80"/>
      <c r="I46" s="161"/>
      <c r="K46" s="158"/>
      <c r="L46" s="160"/>
      <c r="M46" s="148"/>
      <c r="N46" s="148"/>
    </row>
    <row r="47">
      <c r="B47" s="78" t="s">
        <v>582</v>
      </c>
      <c r="C47" s="79"/>
      <c r="D47" s="80" t="s">
        <v>75</v>
      </c>
      <c r="E47" s="80" t="s">
        <v>607</v>
      </c>
      <c r="F47" s="81">
        <v>1.0</v>
      </c>
      <c r="G47" s="80"/>
    </row>
    <row r="48">
      <c r="B48" s="78" t="s">
        <v>584</v>
      </c>
      <c r="C48" s="79"/>
      <c r="D48" s="80" t="s">
        <v>75</v>
      </c>
      <c r="E48" s="80" t="s">
        <v>585</v>
      </c>
      <c r="F48" s="81">
        <v>1.0</v>
      </c>
      <c r="G48" s="80"/>
    </row>
    <row r="49">
      <c r="B49" s="78" t="s">
        <v>586</v>
      </c>
      <c r="C49" s="79"/>
      <c r="D49" s="80" t="s">
        <v>75</v>
      </c>
      <c r="E49" s="80" t="s">
        <v>608</v>
      </c>
      <c r="F49" s="81">
        <v>1.0</v>
      </c>
      <c r="G49" s="80"/>
    </row>
    <row r="50">
      <c r="B50" s="78" t="s">
        <v>83</v>
      </c>
      <c r="C50" s="79"/>
      <c r="D50" s="80" t="s">
        <v>75</v>
      </c>
      <c r="E50" s="80" t="s">
        <v>113</v>
      </c>
      <c r="F50" s="81">
        <v>1.0</v>
      </c>
      <c r="G50" s="80"/>
    </row>
    <row r="51">
      <c r="B51" s="78" t="s">
        <v>591</v>
      </c>
      <c r="C51" s="79"/>
      <c r="D51" s="80" t="s">
        <v>75</v>
      </c>
      <c r="E51" s="80" t="s">
        <v>609</v>
      </c>
      <c r="F51" s="81">
        <v>1.0</v>
      </c>
      <c r="G51" s="80"/>
    </row>
    <row r="52">
      <c r="B52" s="78" t="s">
        <v>594</v>
      </c>
      <c r="C52" s="79"/>
      <c r="D52" s="80" t="s">
        <v>75</v>
      </c>
      <c r="E52" s="80" t="s">
        <v>610</v>
      </c>
      <c r="F52" s="81">
        <v>1.0</v>
      </c>
      <c r="G52" s="80"/>
    </row>
    <row r="53">
      <c r="B53" s="78" t="s">
        <v>597</v>
      </c>
      <c r="C53" s="79"/>
      <c r="D53" s="80" t="s">
        <v>87</v>
      </c>
      <c r="E53" s="130">
        <v>1497831.0</v>
      </c>
      <c r="F53" s="81">
        <v>1.0</v>
      </c>
      <c r="G53" s="80"/>
    </row>
    <row r="54">
      <c r="B54" s="78" t="s">
        <v>600</v>
      </c>
      <c r="C54" s="79"/>
      <c r="D54" s="80" t="s">
        <v>78</v>
      </c>
      <c r="E54" s="80" t="s">
        <v>78</v>
      </c>
      <c r="F54" s="81">
        <v>1.0</v>
      </c>
      <c r="G54" s="80"/>
    </row>
    <row r="55">
      <c r="B55" s="78" t="s">
        <v>611</v>
      </c>
      <c r="C55" s="79"/>
      <c r="D55" s="80" t="s">
        <v>120</v>
      </c>
      <c r="E55" s="123">
        <v>12.22012</v>
      </c>
      <c r="F55" s="81">
        <v>2.0</v>
      </c>
      <c r="G55" s="80"/>
    </row>
    <row r="56">
      <c r="B56" s="116" t="s">
        <v>38</v>
      </c>
      <c r="C56" s="17"/>
      <c r="D56" s="72"/>
      <c r="E56" s="72"/>
      <c r="F56" s="72">
        <f>SUM(F34:F55)</f>
        <v>24</v>
      </c>
      <c r="G56" s="72"/>
    </row>
    <row r="60">
      <c r="B60" s="28" t="s">
        <v>58</v>
      </c>
      <c r="C60" s="16"/>
      <c r="D60" s="16"/>
      <c r="E60" s="16"/>
      <c r="F60" s="16"/>
      <c r="G60" s="17"/>
      <c r="H60" s="106"/>
    </row>
    <row r="61">
      <c r="B61" s="28" t="s">
        <v>14</v>
      </c>
      <c r="C61" s="16"/>
      <c r="D61" s="16"/>
      <c r="E61" s="16"/>
      <c r="F61" s="16"/>
      <c r="G61" s="17"/>
      <c r="H61" s="106"/>
    </row>
    <row r="62">
      <c r="B62" s="117" t="s">
        <v>60</v>
      </c>
      <c r="C62" s="79"/>
      <c r="D62" s="118" t="s">
        <v>16</v>
      </c>
      <c r="E62" s="118" t="s">
        <v>17</v>
      </c>
      <c r="F62" s="118" t="s">
        <v>18</v>
      </c>
      <c r="G62" s="119" t="s">
        <v>19</v>
      </c>
    </row>
    <row r="63">
      <c r="B63" s="117" t="s">
        <v>612</v>
      </c>
      <c r="C63" s="79"/>
      <c r="D63" s="119" t="s">
        <v>373</v>
      </c>
      <c r="E63" s="34"/>
      <c r="F63" s="34"/>
      <c r="G63" s="79"/>
    </row>
    <row r="64">
      <c r="B64" s="137" t="s">
        <v>613</v>
      </c>
      <c r="C64" s="79"/>
      <c r="D64" s="146" t="s">
        <v>87</v>
      </c>
      <c r="E64" s="146" t="s">
        <v>328</v>
      </c>
      <c r="F64" s="147">
        <v>1.0</v>
      </c>
      <c r="G64" s="80"/>
    </row>
    <row r="65">
      <c r="B65" s="78" t="s">
        <v>565</v>
      </c>
      <c r="C65" s="79"/>
      <c r="D65" s="80" t="s">
        <v>23</v>
      </c>
      <c r="E65" s="80" t="s">
        <v>614</v>
      </c>
      <c r="F65" s="81">
        <v>1.0</v>
      </c>
      <c r="G65" s="148"/>
    </row>
    <row r="66">
      <c r="B66" s="78" t="s">
        <v>615</v>
      </c>
      <c r="C66" s="79"/>
      <c r="D66" s="80" t="s">
        <v>78</v>
      </c>
      <c r="E66" s="80" t="s">
        <v>78</v>
      </c>
      <c r="F66" s="81">
        <v>2.0</v>
      </c>
      <c r="G66" s="80"/>
    </row>
    <row r="67">
      <c r="B67" s="137" t="s">
        <v>199</v>
      </c>
      <c r="C67" s="79"/>
      <c r="D67" s="146" t="s">
        <v>75</v>
      </c>
      <c r="E67" s="146" t="s">
        <v>325</v>
      </c>
      <c r="F67" s="147">
        <v>1.0</v>
      </c>
      <c r="G67" s="80"/>
    </row>
    <row r="68">
      <c r="B68" s="137" t="s">
        <v>568</v>
      </c>
      <c r="C68" s="79"/>
      <c r="D68" s="146" t="s">
        <v>78</v>
      </c>
      <c r="E68" s="162" t="s">
        <v>78</v>
      </c>
      <c r="F68" s="147">
        <v>2.0</v>
      </c>
      <c r="G68" s="80"/>
    </row>
    <row r="69">
      <c r="B69" s="78" t="s">
        <v>569</v>
      </c>
      <c r="C69" s="79"/>
      <c r="D69" s="80" t="s">
        <v>75</v>
      </c>
      <c r="E69" s="123" t="s">
        <v>616</v>
      </c>
      <c r="F69" s="81">
        <v>1.0</v>
      </c>
      <c r="G69" s="80"/>
    </row>
    <row r="70">
      <c r="B70" s="78" t="s">
        <v>273</v>
      </c>
      <c r="C70" s="79"/>
      <c r="D70" s="80" t="s">
        <v>87</v>
      </c>
      <c r="E70" s="80" t="s">
        <v>570</v>
      </c>
      <c r="F70" s="81">
        <v>1.0</v>
      </c>
      <c r="G70" s="80"/>
    </row>
    <row r="71">
      <c r="B71" s="78" t="s">
        <v>617</v>
      </c>
      <c r="C71" s="79"/>
      <c r="D71" s="80" t="s">
        <v>23</v>
      </c>
      <c r="E71" s="80">
        <v>2.0</v>
      </c>
      <c r="F71" s="81">
        <v>1.0</v>
      </c>
      <c r="G71" s="80"/>
    </row>
    <row r="72">
      <c r="B72" s="78" t="s">
        <v>572</v>
      </c>
      <c r="C72" s="79"/>
      <c r="D72" s="80" t="s">
        <v>75</v>
      </c>
      <c r="E72" s="80" t="s">
        <v>288</v>
      </c>
      <c r="F72" s="81">
        <v>1.0</v>
      </c>
      <c r="G72" s="80"/>
    </row>
    <row r="73">
      <c r="B73" s="78" t="s">
        <v>158</v>
      </c>
      <c r="C73" s="79"/>
      <c r="D73" s="80" t="s">
        <v>23</v>
      </c>
      <c r="E73" s="80" t="s">
        <v>575</v>
      </c>
      <c r="F73" s="81">
        <v>1.0</v>
      </c>
      <c r="G73" s="80"/>
    </row>
    <row r="74">
      <c r="B74" s="78" t="s">
        <v>275</v>
      </c>
      <c r="C74" s="79"/>
      <c r="D74" s="80" t="s">
        <v>75</v>
      </c>
      <c r="E74" s="80" t="s">
        <v>108</v>
      </c>
      <c r="F74" s="81">
        <v>1.0</v>
      </c>
      <c r="G74" s="80"/>
    </row>
    <row r="75">
      <c r="B75" s="78" t="s">
        <v>275</v>
      </c>
      <c r="C75" s="79"/>
      <c r="D75" s="80" t="s">
        <v>75</v>
      </c>
      <c r="E75" s="80" t="s">
        <v>105</v>
      </c>
      <c r="F75" s="81">
        <v>1.0</v>
      </c>
      <c r="G75" s="80"/>
    </row>
    <row r="76">
      <c r="B76" s="78" t="s">
        <v>74</v>
      </c>
      <c r="C76" s="79"/>
      <c r="D76" s="80" t="s">
        <v>75</v>
      </c>
      <c r="E76" s="80" t="s">
        <v>76</v>
      </c>
      <c r="F76" s="81">
        <v>1.0</v>
      </c>
      <c r="G76" s="80"/>
    </row>
    <row r="77">
      <c r="B77" s="78" t="s">
        <v>582</v>
      </c>
      <c r="C77" s="79"/>
      <c r="D77" s="80" t="s">
        <v>75</v>
      </c>
      <c r="E77" s="80" t="s">
        <v>583</v>
      </c>
      <c r="F77" s="81">
        <v>1.0</v>
      </c>
      <c r="G77" s="80"/>
    </row>
    <row r="78">
      <c r="B78" s="78" t="s">
        <v>584</v>
      </c>
      <c r="C78" s="79"/>
      <c r="D78" s="80" t="s">
        <v>75</v>
      </c>
      <c r="E78" s="80" t="s">
        <v>585</v>
      </c>
      <c r="F78" s="81">
        <v>1.0</v>
      </c>
      <c r="G78" s="80"/>
    </row>
    <row r="79">
      <c r="B79" s="78" t="s">
        <v>586</v>
      </c>
      <c r="C79" s="79"/>
      <c r="D79" s="80" t="s">
        <v>75</v>
      </c>
      <c r="E79" s="80" t="s">
        <v>608</v>
      </c>
      <c r="F79" s="81">
        <v>1.0</v>
      </c>
      <c r="G79" s="80"/>
    </row>
    <row r="80">
      <c r="B80" s="78" t="s">
        <v>83</v>
      </c>
      <c r="C80" s="79"/>
      <c r="D80" s="80" t="s">
        <v>75</v>
      </c>
      <c r="E80" s="80" t="s">
        <v>113</v>
      </c>
      <c r="F80" s="81">
        <v>1.0</v>
      </c>
      <c r="G80" s="80"/>
    </row>
    <row r="81">
      <c r="B81" s="78" t="s">
        <v>591</v>
      </c>
      <c r="C81" s="79"/>
      <c r="D81" s="80" t="s">
        <v>75</v>
      </c>
      <c r="E81" s="80" t="s">
        <v>592</v>
      </c>
      <c r="F81" s="81">
        <v>1.0</v>
      </c>
      <c r="G81" s="80"/>
    </row>
    <row r="82">
      <c r="B82" s="78" t="s">
        <v>594</v>
      </c>
      <c r="C82" s="79"/>
      <c r="D82" s="80" t="s">
        <v>75</v>
      </c>
      <c r="E82" s="80" t="s">
        <v>595</v>
      </c>
      <c r="F82" s="81">
        <v>1.0</v>
      </c>
      <c r="G82" s="80"/>
    </row>
    <row r="83">
      <c r="B83" s="78" t="s">
        <v>597</v>
      </c>
      <c r="C83" s="79"/>
      <c r="D83" s="80" t="s">
        <v>87</v>
      </c>
      <c r="E83" s="130">
        <v>1501483.0</v>
      </c>
      <c r="F83" s="81">
        <v>1.0</v>
      </c>
      <c r="G83" s="80"/>
    </row>
    <row r="84">
      <c r="B84" s="137" t="s">
        <v>600</v>
      </c>
      <c r="C84" s="79"/>
      <c r="D84" s="146" t="s">
        <v>78</v>
      </c>
      <c r="E84" s="146" t="s">
        <v>78</v>
      </c>
      <c r="F84" s="147">
        <v>1.0</v>
      </c>
      <c r="G84" s="80"/>
    </row>
    <row r="85">
      <c r="B85" s="137" t="s">
        <v>618</v>
      </c>
      <c r="C85" s="79"/>
      <c r="D85" s="146" t="s">
        <v>87</v>
      </c>
      <c r="E85" s="146" t="s">
        <v>619</v>
      </c>
      <c r="F85" s="147">
        <v>1.0</v>
      </c>
      <c r="G85" s="80"/>
    </row>
    <row r="86">
      <c r="B86" s="163" t="s">
        <v>620</v>
      </c>
      <c r="C86" s="16"/>
      <c r="D86" s="16"/>
      <c r="E86" s="16"/>
      <c r="F86" s="16"/>
      <c r="G86" s="17"/>
    </row>
    <row r="88">
      <c r="B88" s="28" t="s">
        <v>58</v>
      </c>
      <c r="C88" s="16"/>
      <c r="D88" s="16"/>
      <c r="E88" s="16"/>
      <c r="F88" s="16"/>
      <c r="G88" s="17"/>
      <c r="H88" s="106"/>
    </row>
    <row r="89">
      <c r="B89" s="28" t="s">
        <v>14</v>
      </c>
      <c r="C89" s="16"/>
      <c r="D89" s="16"/>
      <c r="E89" s="16"/>
      <c r="F89" s="16"/>
      <c r="G89" s="17"/>
      <c r="H89" s="106"/>
    </row>
    <row r="90">
      <c r="B90" s="57" t="s">
        <v>60</v>
      </c>
      <c r="C90" s="17"/>
      <c r="D90" s="58" t="s">
        <v>16</v>
      </c>
      <c r="E90" s="58" t="s">
        <v>17</v>
      </c>
      <c r="F90" s="58" t="s">
        <v>18</v>
      </c>
      <c r="G90" s="58" t="s">
        <v>19</v>
      </c>
    </row>
    <row r="91">
      <c r="B91" s="57" t="s">
        <v>621</v>
      </c>
      <c r="C91" s="17"/>
      <c r="D91" s="57" t="s">
        <v>622</v>
      </c>
      <c r="E91" s="16"/>
      <c r="F91" s="16"/>
      <c r="G91" s="17"/>
    </row>
    <row r="92">
      <c r="B92" s="78" t="s">
        <v>623</v>
      </c>
      <c r="C92" s="79"/>
      <c r="D92" s="80" t="s">
        <v>75</v>
      </c>
      <c r="E92" s="80" t="s">
        <v>280</v>
      </c>
      <c r="F92" s="81">
        <v>1.0</v>
      </c>
      <c r="G92" s="80"/>
    </row>
    <row r="93">
      <c r="B93" s="137" t="s">
        <v>443</v>
      </c>
      <c r="C93" s="79"/>
      <c r="D93" s="80" t="s">
        <v>75</v>
      </c>
      <c r="E93" s="80" t="s">
        <v>624</v>
      </c>
      <c r="F93" s="81">
        <v>1.0</v>
      </c>
      <c r="G93" s="80"/>
    </row>
    <row r="94">
      <c r="B94" s="78" t="s">
        <v>480</v>
      </c>
      <c r="C94" s="79"/>
      <c r="D94" s="80" t="s">
        <v>75</v>
      </c>
      <c r="E94" s="80" t="s">
        <v>625</v>
      </c>
      <c r="F94" s="81">
        <v>1.0</v>
      </c>
      <c r="G94" s="80"/>
    </row>
    <row r="95">
      <c r="B95" s="78" t="s">
        <v>626</v>
      </c>
      <c r="C95" s="79"/>
      <c r="D95" s="80" t="s">
        <v>75</v>
      </c>
      <c r="E95" s="123" t="s">
        <v>627</v>
      </c>
      <c r="F95" s="81">
        <v>1.0</v>
      </c>
      <c r="G95" s="80"/>
    </row>
    <row r="96">
      <c r="B96" s="78" t="s">
        <v>628</v>
      </c>
      <c r="C96" s="79"/>
      <c r="D96" s="80" t="s">
        <v>75</v>
      </c>
      <c r="E96" s="123" t="s">
        <v>629</v>
      </c>
      <c r="F96" s="81">
        <v>1.0</v>
      </c>
      <c r="G96" s="80"/>
    </row>
    <row r="97">
      <c r="B97" s="78" t="s">
        <v>630</v>
      </c>
      <c r="C97" s="79"/>
      <c r="D97" s="80" t="s">
        <v>75</v>
      </c>
      <c r="E97" s="80" t="s">
        <v>89</v>
      </c>
      <c r="F97" s="81">
        <v>1.0</v>
      </c>
      <c r="G97" s="80"/>
    </row>
    <row r="98">
      <c r="B98" s="78" t="s">
        <v>631</v>
      </c>
      <c r="C98" s="79"/>
      <c r="D98" s="80" t="s">
        <v>75</v>
      </c>
      <c r="E98" s="80" t="s">
        <v>632</v>
      </c>
      <c r="F98" s="81">
        <v>1.0</v>
      </c>
      <c r="G98" s="80"/>
    </row>
    <row r="99">
      <c r="B99" s="78" t="s">
        <v>633</v>
      </c>
      <c r="C99" s="79"/>
      <c r="D99" s="80" t="s">
        <v>75</v>
      </c>
      <c r="E99" s="80" t="s">
        <v>634</v>
      </c>
      <c r="F99" s="81">
        <v>1.0</v>
      </c>
      <c r="G99" s="80"/>
    </row>
    <row r="100">
      <c r="B100" s="78" t="s">
        <v>591</v>
      </c>
      <c r="C100" s="79"/>
      <c r="D100" s="80" t="s">
        <v>75</v>
      </c>
      <c r="E100" s="80" t="s">
        <v>609</v>
      </c>
      <c r="F100" s="81">
        <v>1.0</v>
      </c>
      <c r="G100" s="80"/>
    </row>
    <row r="101">
      <c r="B101" s="78" t="s">
        <v>635</v>
      </c>
      <c r="C101" s="79"/>
      <c r="D101" s="80" t="s">
        <v>75</v>
      </c>
      <c r="E101" s="80" t="s">
        <v>636</v>
      </c>
      <c r="F101" s="81">
        <v>1.0</v>
      </c>
      <c r="G101" s="80"/>
    </row>
    <row r="102">
      <c r="B102" s="116" t="s">
        <v>38</v>
      </c>
      <c r="C102" s="17"/>
      <c r="D102" s="72"/>
      <c r="E102" s="72"/>
      <c r="F102" s="72">
        <f>SUM(F92:F101)</f>
        <v>10</v>
      </c>
      <c r="G102" s="72"/>
    </row>
    <row r="104">
      <c r="B104" s="28" t="s">
        <v>58</v>
      </c>
      <c r="C104" s="16"/>
      <c r="D104" s="16"/>
      <c r="E104" s="16"/>
      <c r="F104" s="16"/>
      <c r="G104" s="17"/>
      <c r="H104" s="106"/>
    </row>
    <row r="105">
      <c r="B105" s="28" t="s">
        <v>14</v>
      </c>
      <c r="C105" s="16"/>
      <c r="D105" s="16"/>
      <c r="E105" s="16"/>
      <c r="F105" s="16"/>
      <c r="G105" s="17"/>
      <c r="H105" s="106"/>
    </row>
    <row r="106">
      <c r="B106" s="57" t="s">
        <v>60</v>
      </c>
      <c r="C106" s="17"/>
      <c r="D106" s="58" t="s">
        <v>16</v>
      </c>
      <c r="E106" s="58" t="s">
        <v>17</v>
      </c>
      <c r="F106" s="58" t="s">
        <v>18</v>
      </c>
      <c r="G106" s="58" t="s">
        <v>19</v>
      </c>
      <c r="H106" s="106"/>
    </row>
    <row r="107">
      <c r="B107" s="57" t="s">
        <v>637</v>
      </c>
      <c r="C107" s="17"/>
      <c r="D107" s="57" t="s">
        <v>638</v>
      </c>
      <c r="E107" s="16"/>
      <c r="F107" s="16"/>
      <c r="G107" s="17"/>
      <c r="H107" s="164"/>
    </row>
    <row r="108">
      <c r="B108" s="115" t="s">
        <v>623</v>
      </c>
      <c r="C108" s="17"/>
      <c r="D108" s="91" t="s">
        <v>75</v>
      </c>
      <c r="E108" s="91" t="s">
        <v>280</v>
      </c>
      <c r="F108" s="122">
        <v>1.0</v>
      </c>
      <c r="G108" s="91"/>
      <c r="H108" s="164"/>
    </row>
    <row r="109">
      <c r="B109" s="115" t="s">
        <v>443</v>
      </c>
      <c r="C109" s="17"/>
      <c r="D109" s="91" t="s">
        <v>69</v>
      </c>
      <c r="E109" s="91" t="s">
        <v>78</v>
      </c>
      <c r="F109" s="122">
        <v>1.0</v>
      </c>
      <c r="G109" s="91"/>
      <c r="H109" s="164"/>
    </row>
    <row r="110">
      <c r="B110" s="78" t="s">
        <v>480</v>
      </c>
      <c r="C110" s="79"/>
      <c r="D110" s="80" t="s">
        <v>75</v>
      </c>
      <c r="E110" s="80" t="s">
        <v>625</v>
      </c>
      <c r="F110" s="81">
        <v>1.0</v>
      </c>
      <c r="G110" s="91"/>
      <c r="H110" s="164"/>
    </row>
    <row r="111">
      <c r="B111" s="78" t="s">
        <v>626</v>
      </c>
      <c r="C111" s="79"/>
      <c r="D111" s="80" t="s">
        <v>75</v>
      </c>
      <c r="E111" s="123" t="s">
        <v>627</v>
      </c>
      <c r="F111" s="81">
        <v>1.0</v>
      </c>
      <c r="G111" s="91"/>
      <c r="H111" s="164"/>
    </row>
    <row r="112">
      <c r="B112" s="78" t="s">
        <v>628</v>
      </c>
      <c r="C112" s="79"/>
      <c r="D112" s="80" t="s">
        <v>75</v>
      </c>
      <c r="E112" s="123" t="s">
        <v>629</v>
      </c>
      <c r="F112" s="81">
        <v>1.0</v>
      </c>
      <c r="G112" s="91"/>
      <c r="H112" s="164"/>
    </row>
    <row r="113">
      <c r="B113" s="78" t="s">
        <v>630</v>
      </c>
      <c r="C113" s="79"/>
      <c r="D113" s="80" t="s">
        <v>75</v>
      </c>
      <c r="E113" s="80" t="s">
        <v>89</v>
      </c>
      <c r="F113" s="81">
        <v>1.0</v>
      </c>
      <c r="G113" s="91"/>
      <c r="H113" s="164"/>
    </row>
    <row r="114">
      <c r="B114" s="78" t="s">
        <v>631</v>
      </c>
      <c r="C114" s="79"/>
      <c r="D114" s="80" t="s">
        <v>75</v>
      </c>
      <c r="E114" s="80" t="s">
        <v>632</v>
      </c>
      <c r="F114" s="81">
        <v>1.0</v>
      </c>
      <c r="G114" s="91"/>
      <c r="H114" s="164"/>
    </row>
    <row r="115">
      <c r="B115" s="78" t="s">
        <v>633</v>
      </c>
      <c r="C115" s="79"/>
      <c r="D115" s="80" t="s">
        <v>75</v>
      </c>
      <c r="E115" s="80" t="s">
        <v>634</v>
      </c>
      <c r="F115" s="81">
        <v>1.0</v>
      </c>
      <c r="G115" s="91"/>
      <c r="H115" s="164"/>
    </row>
    <row r="116">
      <c r="B116" s="78" t="s">
        <v>635</v>
      </c>
      <c r="C116" s="79"/>
      <c r="D116" s="80" t="s">
        <v>75</v>
      </c>
      <c r="E116" s="80" t="s">
        <v>636</v>
      </c>
      <c r="F116" s="81">
        <v>1.0</v>
      </c>
      <c r="G116" s="91"/>
      <c r="H116" s="164"/>
    </row>
    <row r="117">
      <c r="B117" s="116" t="s">
        <v>38</v>
      </c>
      <c r="C117" s="17"/>
      <c r="D117" s="72"/>
      <c r="E117" s="72"/>
      <c r="F117" s="72">
        <f>SUM(F108:F116)</f>
        <v>9</v>
      </c>
      <c r="G117" s="72"/>
    </row>
    <row r="119">
      <c r="B119" s="28" t="s">
        <v>58</v>
      </c>
      <c r="C119" s="16"/>
      <c r="D119" s="16"/>
      <c r="E119" s="16"/>
      <c r="F119" s="16"/>
      <c r="G119" s="17"/>
      <c r="I119" s="165" t="s">
        <v>59</v>
      </c>
    </row>
    <row r="120">
      <c r="B120" s="28" t="s">
        <v>14</v>
      </c>
      <c r="C120" s="16"/>
      <c r="D120" s="16"/>
      <c r="E120" s="16"/>
      <c r="F120" s="16"/>
      <c r="G120" s="17"/>
      <c r="I120" s="166" t="s">
        <v>61</v>
      </c>
      <c r="J120" s="166" t="s">
        <v>62</v>
      </c>
    </row>
    <row r="121">
      <c r="B121" s="117" t="s">
        <v>60</v>
      </c>
      <c r="C121" s="79"/>
      <c r="D121" s="118" t="s">
        <v>16</v>
      </c>
      <c r="E121" s="118" t="s">
        <v>17</v>
      </c>
      <c r="F121" s="118" t="s">
        <v>18</v>
      </c>
      <c r="G121" s="118" t="s">
        <v>19</v>
      </c>
      <c r="I121" s="166" t="s">
        <v>639</v>
      </c>
      <c r="J121" s="166" t="s">
        <v>8</v>
      </c>
    </row>
    <row r="122">
      <c r="B122" s="117" t="s">
        <v>640</v>
      </c>
      <c r="C122" s="79"/>
      <c r="D122" s="119"/>
      <c r="E122" s="34"/>
      <c r="F122" s="34"/>
      <c r="G122" s="79"/>
      <c r="I122" s="167" t="s">
        <v>641</v>
      </c>
      <c r="J122" s="166"/>
    </row>
    <row r="123">
      <c r="B123" s="78" t="s">
        <v>623</v>
      </c>
      <c r="C123" s="79"/>
      <c r="D123" s="80" t="s">
        <v>75</v>
      </c>
      <c r="E123" s="80" t="s">
        <v>280</v>
      </c>
      <c r="F123" s="81">
        <v>1.0</v>
      </c>
      <c r="G123" s="80"/>
    </row>
    <row r="124">
      <c r="B124" s="78" t="s">
        <v>443</v>
      </c>
      <c r="C124" s="79"/>
      <c r="D124" s="80" t="s">
        <v>75</v>
      </c>
      <c r="E124" s="80" t="s">
        <v>624</v>
      </c>
      <c r="F124" s="81">
        <v>1.0</v>
      </c>
      <c r="G124" s="80"/>
    </row>
    <row r="125">
      <c r="B125" s="78" t="s">
        <v>480</v>
      </c>
      <c r="C125" s="79"/>
      <c r="D125" s="80" t="s">
        <v>75</v>
      </c>
      <c r="E125" s="80" t="s">
        <v>625</v>
      </c>
      <c r="F125" s="81">
        <v>1.0</v>
      </c>
      <c r="G125" s="80"/>
    </row>
    <row r="126">
      <c r="B126" s="78" t="s">
        <v>626</v>
      </c>
      <c r="C126" s="79"/>
      <c r="D126" s="80" t="s">
        <v>75</v>
      </c>
      <c r="E126" s="123" t="s">
        <v>627</v>
      </c>
      <c r="F126" s="81">
        <v>1.0</v>
      </c>
      <c r="G126" s="80"/>
    </row>
    <row r="127">
      <c r="B127" s="78" t="s">
        <v>628</v>
      </c>
      <c r="C127" s="79"/>
      <c r="D127" s="80" t="s">
        <v>75</v>
      </c>
      <c r="E127" s="123" t="s">
        <v>629</v>
      </c>
      <c r="F127" s="81">
        <v>1.0</v>
      </c>
      <c r="G127" s="80"/>
    </row>
    <row r="128">
      <c r="B128" s="78" t="s">
        <v>630</v>
      </c>
      <c r="C128" s="79"/>
      <c r="D128" s="80" t="s">
        <v>75</v>
      </c>
      <c r="E128" s="80" t="s">
        <v>89</v>
      </c>
      <c r="F128" s="81">
        <v>1.0</v>
      </c>
      <c r="G128" s="80"/>
    </row>
    <row r="129">
      <c r="B129" s="78" t="s">
        <v>631</v>
      </c>
      <c r="C129" s="79"/>
      <c r="D129" s="80" t="s">
        <v>75</v>
      </c>
      <c r="E129" s="80" t="s">
        <v>632</v>
      </c>
      <c r="F129" s="81">
        <v>1.0</v>
      </c>
      <c r="G129" s="80"/>
    </row>
    <row r="130">
      <c r="B130" s="78" t="s">
        <v>633</v>
      </c>
      <c r="C130" s="79"/>
      <c r="D130" s="80" t="s">
        <v>75</v>
      </c>
      <c r="E130" s="80" t="s">
        <v>634</v>
      </c>
      <c r="F130" s="81">
        <v>1.0</v>
      </c>
      <c r="G130" s="80"/>
    </row>
    <row r="131">
      <c r="B131" s="78" t="s">
        <v>591</v>
      </c>
      <c r="C131" s="79"/>
      <c r="D131" s="80" t="s">
        <v>75</v>
      </c>
      <c r="E131" s="80" t="s">
        <v>609</v>
      </c>
      <c r="F131" s="81">
        <v>1.0</v>
      </c>
      <c r="G131" s="80"/>
    </row>
    <row r="132">
      <c r="B132" s="78" t="s">
        <v>635</v>
      </c>
      <c r="C132" s="79"/>
      <c r="D132" s="80" t="s">
        <v>75</v>
      </c>
      <c r="E132" s="80" t="s">
        <v>636</v>
      </c>
      <c r="F132" s="81">
        <v>1.0</v>
      </c>
      <c r="G132" s="80"/>
    </row>
    <row r="133">
      <c r="B133" s="116" t="s">
        <v>38</v>
      </c>
      <c r="C133" s="17"/>
      <c r="D133" s="72"/>
      <c r="E133" s="72"/>
      <c r="F133" s="72">
        <f>SUM(F123:F132)</f>
        <v>10</v>
      </c>
      <c r="G133" s="72"/>
    </row>
    <row r="135">
      <c r="B135" s="28" t="s">
        <v>58</v>
      </c>
      <c r="C135" s="16"/>
      <c r="D135" s="16"/>
      <c r="E135" s="16"/>
      <c r="F135" s="16"/>
      <c r="G135" s="17"/>
    </row>
    <row r="136">
      <c r="B136" s="28" t="s">
        <v>14</v>
      </c>
      <c r="C136" s="16"/>
      <c r="D136" s="16"/>
      <c r="E136" s="16"/>
      <c r="F136" s="16"/>
      <c r="G136" s="17"/>
    </row>
    <row r="137">
      <c r="B137" s="117" t="s">
        <v>60</v>
      </c>
      <c r="C137" s="79"/>
      <c r="D137" s="118" t="s">
        <v>16</v>
      </c>
      <c r="E137" s="118" t="s">
        <v>17</v>
      </c>
      <c r="F137" s="118" t="s">
        <v>18</v>
      </c>
      <c r="G137" s="119" t="s">
        <v>19</v>
      </c>
    </row>
    <row r="138">
      <c r="B138" s="117" t="s">
        <v>642</v>
      </c>
      <c r="C138" s="79"/>
      <c r="D138" s="119" t="s">
        <v>643</v>
      </c>
      <c r="E138" s="34"/>
      <c r="F138" s="34"/>
      <c r="G138" s="79"/>
    </row>
    <row r="139">
      <c r="B139" s="78" t="s">
        <v>644</v>
      </c>
      <c r="C139" s="79"/>
      <c r="D139" s="80" t="s">
        <v>87</v>
      </c>
      <c r="E139" s="80" t="s">
        <v>332</v>
      </c>
      <c r="F139" s="81">
        <v>1.0</v>
      </c>
      <c r="G139" s="80"/>
    </row>
    <row r="140">
      <c r="B140" s="78" t="s">
        <v>645</v>
      </c>
      <c r="C140" s="79"/>
      <c r="D140" s="80" t="s">
        <v>84</v>
      </c>
      <c r="E140" s="80" t="s">
        <v>78</v>
      </c>
      <c r="F140" s="81">
        <v>1.0</v>
      </c>
      <c r="G140" s="80"/>
    </row>
    <row r="141">
      <c r="B141" s="78" t="s">
        <v>646</v>
      </c>
      <c r="C141" s="79"/>
      <c r="D141" s="80" t="s">
        <v>118</v>
      </c>
      <c r="E141" s="123" t="s">
        <v>78</v>
      </c>
      <c r="F141" s="81">
        <v>1.0</v>
      </c>
      <c r="G141" s="80"/>
    </row>
    <row r="142">
      <c r="B142" s="78" t="s">
        <v>647</v>
      </c>
      <c r="C142" s="79"/>
      <c r="D142" s="80" t="s">
        <v>78</v>
      </c>
      <c r="E142" s="123" t="s">
        <v>78</v>
      </c>
      <c r="F142" s="81">
        <v>1.0</v>
      </c>
      <c r="G142" s="80"/>
    </row>
    <row r="143">
      <c r="B143" s="78" t="s">
        <v>175</v>
      </c>
      <c r="C143" s="79"/>
      <c r="D143" s="80" t="s">
        <v>78</v>
      </c>
      <c r="E143" s="80" t="s">
        <v>78</v>
      </c>
      <c r="F143" s="81">
        <v>1.0</v>
      </c>
      <c r="G143" s="80"/>
    </row>
    <row r="144">
      <c r="B144" s="142" t="s">
        <v>613</v>
      </c>
      <c r="C144" s="142"/>
      <c r="D144" s="80" t="s">
        <v>87</v>
      </c>
      <c r="E144" s="80" t="s">
        <v>207</v>
      </c>
      <c r="F144" s="81">
        <v>1.0</v>
      </c>
      <c r="G144" s="80"/>
    </row>
    <row r="145">
      <c r="B145" s="78" t="s">
        <v>648</v>
      </c>
      <c r="C145" s="79"/>
      <c r="D145" s="80" t="s">
        <v>78</v>
      </c>
      <c r="E145" s="80" t="s">
        <v>78</v>
      </c>
      <c r="F145" s="81">
        <v>1.0</v>
      </c>
      <c r="G145" s="80"/>
    </row>
    <row r="146">
      <c r="B146" s="78" t="s">
        <v>649</v>
      </c>
      <c r="C146" s="79"/>
      <c r="D146" s="80" t="s">
        <v>78</v>
      </c>
      <c r="E146" s="80" t="s">
        <v>78</v>
      </c>
      <c r="F146" s="81">
        <v>1.0</v>
      </c>
      <c r="G146" s="80"/>
    </row>
    <row r="147">
      <c r="B147" s="78" t="s">
        <v>650</v>
      </c>
      <c r="C147" s="79"/>
      <c r="D147" s="80" t="s">
        <v>87</v>
      </c>
      <c r="E147" s="123" t="s">
        <v>188</v>
      </c>
      <c r="F147" s="81">
        <v>2.0</v>
      </c>
      <c r="G147" s="80"/>
    </row>
    <row r="148">
      <c r="B148" s="78" t="s">
        <v>402</v>
      </c>
      <c r="C148" s="79"/>
      <c r="D148" s="80" t="s">
        <v>87</v>
      </c>
      <c r="E148" s="80" t="s">
        <v>200</v>
      </c>
      <c r="F148" s="81">
        <v>1.0</v>
      </c>
      <c r="G148" s="80"/>
    </row>
    <row r="149">
      <c r="B149" s="78" t="s">
        <v>572</v>
      </c>
      <c r="C149" s="79"/>
      <c r="D149" s="80" t="s">
        <v>78</v>
      </c>
      <c r="E149" s="80" t="s">
        <v>651</v>
      </c>
      <c r="F149" s="81">
        <v>1.0</v>
      </c>
      <c r="G149" s="80"/>
    </row>
    <row r="150">
      <c r="B150" s="78" t="s">
        <v>77</v>
      </c>
      <c r="C150" s="79"/>
      <c r="D150" s="80" t="s">
        <v>78</v>
      </c>
      <c r="E150" s="123" t="s">
        <v>78</v>
      </c>
      <c r="F150" s="81">
        <v>1.0</v>
      </c>
      <c r="G150" s="80"/>
    </row>
    <row r="151">
      <c r="B151" s="78" t="s">
        <v>90</v>
      </c>
      <c r="C151" s="79"/>
      <c r="D151" s="80" t="s">
        <v>78</v>
      </c>
      <c r="E151" s="123" t="s">
        <v>78</v>
      </c>
      <c r="F151" s="81">
        <v>1.0</v>
      </c>
      <c r="G151" s="80"/>
    </row>
    <row r="152">
      <c r="B152" s="78" t="s">
        <v>150</v>
      </c>
      <c r="C152" s="79"/>
      <c r="D152" s="80" t="s">
        <v>78</v>
      </c>
      <c r="E152" s="123" t="s">
        <v>78</v>
      </c>
      <c r="F152" s="81">
        <v>1.0</v>
      </c>
      <c r="G152" s="80"/>
    </row>
    <row r="153">
      <c r="B153" s="78" t="s">
        <v>652</v>
      </c>
      <c r="C153" s="79"/>
      <c r="D153" s="80" t="s">
        <v>78</v>
      </c>
      <c r="E153" s="80" t="s">
        <v>653</v>
      </c>
      <c r="F153" s="81">
        <v>1.0</v>
      </c>
      <c r="G153" s="80"/>
    </row>
    <row r="154">
      <c r="B154" s="73" t="s">
        <v>654</v>
      </c>
      <c r="C154" s="17"/>
      <c r="D154" s="72" t="s">
        <v>87</v>
      </c>
      <c r="E154" s="72" t="s">
        <v>655</v>
      </c>
      <c r="F154" s="72">
        <v>2.0</v>
      </c>
      <c r="G154" s="72"/>
    </row>
    <row r="155">
      <c r="B155" s="73" t="s">
        <v>287</v>
      </c>
      <c r="C155" s="17"/>
      <c r="D155" s="91" t="s">
        <v>87</v>
      </c>
      <c r="E155" s="92" t="s">
        <v>656</v>
      </c>
      <c r="F155" s="72">
        <v>1.0</v>
      </c>
      <c r="G155" s="72"/>
    </row>
    <row r="156">
      <c r="B156" s="73" t="s">
        <v>657</v>
      </c>
      <c r="C156" s="17"/>
      <c r="D156" s="91" t="s">
        <v>197</v>
      </c>
      <c r="E156" s="92" t="s">
        <v>658</v>
      </c>
      <c r="F156" s="72">
        <v>1.0</v>
      </c>
      <c r="G156" s="72"/>
    </row>
    <row r="157">
      <c r="B157" s="73" t="s">
        <v>659</v>
      </c>
      <c r="C157" s="17"/>
      <c r="D157" s="91" t="s">
        <v>78</v>
      </c>
      <c r="E157" s="92" t="s">
        <v>78</v>
      </c>
      <c r="F157" s="72">
        <v>1.0</v>
      </c>
      <c r="G157" s="72"/>
    </row>
    <row r="158">
      <c r="B158" s="73" t="s">
        <v>660</v>
      </c>
      <c r="C158" s="17"/>
      <c r="D158" s="91" t="s">
        <v>78</v>
      </c>
      <c r="E158" s="92" t="s">
        <v>78</v>
      </c>
      <c r="F158" s="72">
        <v>2.0</v>
      </c>
      <c r="G158" s="72"/>
    </row>
    <row r="159">
      <c r="B159" s="73" t="s">
        <v>514</v>
      </c>
      <c r="C159" s="17"/>
      <c r="D159" s="91" t="s">
        <v>78</v>
      </c>
      <c r="E159" s="92" t="s">
        <v>78</v>
      </c>
      <c r="F159" s="72">
        <v>1.0</v>
      </c>
      <c r="G159" s="72"/>
    </row>
    <row r="160">
      <c r="B160" s="73" t="s">
        <v>80</v>
      </c>
      <c r="C160" s="17"/>
      <c r="D160" s="91" t="s">
        <v>222</v>
      </c>
      <c r="E160" s="92" t="s">
        <v>78</v>
      </c>
      <c r="F160" s="72">
        <v>1.0</v>
      </c>
      <c r="G160" s="72"/>
    </row>
    <row r="161">
      <c r="B161" s="73" t="s">
        <v>227</v>
      </c>
      <c r="C161" s="17"/>
      <c r="D161" s="91" t="s">
        <v>118</v>
      </c>
      <c r="E161" s="92" t="s">
        <v>78</v>
      </c>
      <c r="F161" s="72">
        <v>1.0</v>
      </c>
      <c r="G161" s="72"/>
    </row>
    <row r="162">
      <c r="B162" s="73" t="s">
        <v>80</v>
      </c>
      <c r="C162" s="17"/>
      <c r="D162" s="91" t="s">
        <v>661</v>
      </c>
      <c r="E162" s="92" t="s">
        <v>221</v>
      </c>
      <c r="F162" s="72">
        <v>1.0</v>
      </c>
      <c r="G162" s="72"/>
    </row>
    <row r="163">
      <c r="B163" s="73" t="s">
        <v>402</v>
      </c>
      <c r="C163" s="17"/>
      <c r="D163" s="91" t="s">
        <v>87</v>
      </c>
      <c r="E163" s="92" t="s">
        <v>202</v>
      </c>
      <c r="F163" s="72">
        <v>1.0</v>
      </c>
      <c r="G163" s="72"/>
    </row>
    <row r="164">
      <c r="B164" s="73" t="s">
        <v>662</v>
      </c>
      <c r="C164" s="17"/>
      <c r="D164" s="91" t="s">
        <v>197</v>
      </c>
      <c r="E164" s="92" t="s">
        <v>78</v>
      </c>
      <c r="F164" s="72">
        <v>1.0</v>
      </c>
      <c r="G164" s="72"/>
    </row>
    <row r="165">
      <c r="B165" s="72" t="s">
        <v>663</v>
      </c>
      <c r="C165" s="74"/>
      <c r="D165" s="91" t="s">
        <v>78</v>
      </c>
      <c r="E165" s="92" t="s">
        <v>78</v>
      </c>
      <c r="F165" s="72">
        <v>1.0</v>
      </c>
      <c r="G165" s="72"/>
    </row>
    <row r="166">
      <c r="B166" s="72" t="s">
        <v>664</v>
      </c>
      <c r="C166" s="74"/>
      <c r="D166" s="91" t="s">
        <v>78</v>
      </c>
      <c r="E166" s="92" t="s">
        <v>78</v>
      </c>
      <c r="F166" s="72">
        <v>1.0</v>
      </c>
      <c r="G166" s="72"/>
    </row>
    <row r="167">
      <c r="B167" s="116" t="s">
        <v>38</v>
      </c>
      <c r="C167" s="17"/>
      <c r="D167" s="91"/>
      <c r="E167" s="92"/>
      <c r="F167" s="72">
        <f>SUM(F139:F166)</f>
        <v>31</v>
      </c>
      <c r="G167" s="72"/>
    </row>
  </sheetData>
  <mergeCells count="236"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52:C52"/>
    <mergeCell ref="B53:C53"/>
    <mergeCell ref="B54:C54"/>
    <mergeCell ref="B55:C55"/>
    <mergeCell ref="B56:C56"/>
    <mergeCell ref="B45:C45"/>
    <mergeCell ref="B46:C46"/>
    <mergeCell ref="B47:C47"/>
    <mergeCell ref="B48:C48"/>
    <mergeCell ref="B49:C49"/>
    <mergeCell ref="B50:C50"/>
    <mergeCell ref="B51:C51"/>
    <mergeCell ref="P20:Q20"/>
    <mergeCell ref="P21:Q21"/>
    <mergeCell ref="P13:Q13"/>
    <mergeCell ref="P14:Q14"/>
    <mergeCell ref="P15:Q15"/>
    <mergeCell ref="P16:Q16"/>
    <mergeCell ref="P17:Q17"/>
    <mergeCell ref="P18:Q18"/>
    <mergeCell ref="P19:Q19"/>
    <mergeCell ref="P3:U3"/>
    <mergeCell ref="P4:Q4"/>
    <mergeCell ref="B2:G2"/>
    <mergeCell ref="I2:N2"/>
    <mergeCell ref="P2:U2"/>
    <mergeCell ref="B3:G3"/>
    <mergeCell ref="I3:N3"/>
    <mergeCell ref="B4:C4"/>
    <mergeCell ref="I4:J4"/>
    <mergeCell ref="B5:C5"/>
    <mergeCell ref="D5:G5"/>
    <mergeCell ref="I5:J5"/>
    <mergeCell ref="K5:N5"/>
    <mergeCell ref="R5:U5"/>
    <mergeCell ref="B6:C6"/>
    <mergeCell ref="P7:Q7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P22:Q22"/>
    <mergeCell ref="P23:Q23"/>
    <mergeCell ref="P24:Q24"/>
    <mergeCell ref="P25:Q25"/>
    <mergeCell ref="P5:Q5"/>
    <mergeCell ref="P6:Q6"/>
    <mergeCell ref="P8:Q8"/>
    <mergeCell ref="P9:Q9"/>
    <mergeCell ref="P10:Q10"/>
    <mergeCell ref="P11:Q11"/>
    <mergeCell ref="P12:Q12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B30:G30"/>
    <mergeCell ref="I30:J30"/>
    <mergeCell ref="B31:G31"/>
    <mergeCell ref="I31:J31"/>
    <mergeCell ref="I32:J32"/>
    <mergeCell ref="D33:G33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B60:G60"/>
    <mergeCell ref="B61:G61"/>
    <mergeCell ref="B62:C62"/>
    <mergeCell ref="B63:C63"/>
    <mergeCell ref="D63:G63"/>
    <mergeCell ref="B64:C64"/>
    <mergeCell ref="B65:C65"/>
    <mergeCell ref="B66:C66"/>
    <mergeCell ref="B67:C67"/>
    <mergeCell ref="B68:C68"/>
    <mergeCell ref="B69:C69"/>
    <mergeCell ref="B70:C70"/>
    <mergeCell ref="D107:G107"/>
    <mergeCell ref="B119:G119"/>
    <mergeCell ref="I119:J119"/>
    <mergeCell ref="B120:G120"/>
    <mergeCell ref="D122:G122"/>
    <mergeCell ref="B135:G135"/>
    <mergeCell ref="B136:G136"/>
    <mergeCell ref="D138:G138"/>
    <mergeCell ref="B85:C85"/>
    <mergeCell ref="B86:G86"/>
    <mergeCell ref="B88:G88"/>
    <mergeCell ref="B89:G89"/>
    <mergeCell ref="D91:G91"/>
    <mergeCell ref="B104:G104"/>
    <mergeCell ref="B105:G105"/>
    <mergeCell ref="B129:C129"/>
    <mergeCell ref="B130:C130"/>
    <mergeCell ref="B131:C131"/>
    <mergeCell ref="B132:C132"/>
    <mergeCell ref="B133:C133"/>
    <mergeCell ref="B137:C137"/>
    <mergeCell ref="B138:C138"/>
    <mergeCell ref="B139:C139"/>
    <mergeCell ref="B140:C140"/>
    <mergeCell ref="B141:C141"/>
    <mergeCell ref="B142:C142"/>
    <mergeCell ref="B143:C143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61:C161"/>
    <mergeCell ref="B162:C162"/>
    <mergeCell ref="B163:C163"/>
    <mergeCell ref="B164:C164"/>
    <mergeCell ref="B167:C167"/>
    <mergeCell ref="B154:C154"/>
    <mergeCell ref="B155:C155"/>
    <mergeCell ref="B156:C156"/>
    <mergeCell ref="B157:C157"/>
    <mergeCell ref="B158:C158"/>
    <mergeCell ref="B159:C159"/>
    <mergeCell ref="B160:C16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7:C87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21:C121"/>
    <mergeCell ref="B122:C122"/>
    <mergeCell ref="B123:C123"/>
    <mergeCell ref="B124:C124"/>
    <mergeCell ref="B125:C125"/>
    <mergeCell ref="B126:C126"/>
    <mergeCell ref="B127:C127"/>
    <mergeCell ref="B128:C12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43"/>
    <col customWidth="1" min="3" max="3" width="30.57"/>
    <col customWidth="1" min="7" max="7" width="29.43"/>
    <col customWidth="1" min="8" max="8" width="18.0"/>
  </cols>
  <sheetData>
    <row r="2">
      <c r="B2" s="28" t="s">
        <v>58</v>
      </c>
      <c r="C2" s="16"/>
      <c r="D2" s="16"/>
      <c r="E2" s="16"/>
      <c r="F2" s="16"/>
      <c r="G2" s="17"/>
    </row>
    <row r="3">
      <c r="B3" s="28" t="s">
        <v>14</v>
      </c>
      <c r="C3" s="16"/>
      <c r="D3" s="16"/>
      <c r="E3" s="16"/>
      <c r="F3" s="16"/>
      <c r="G3" s="17"/>
      <c r="H3" s="106"/>
    </row>
    <row r="4">
      <c r="B4" s="57" t="s">
        <v>60</v>
      </c>
      <c r="C4" s="17"/>
      <c r="D4" s="58" t="s">
        <v>16</v>
      </c>
      <c r="E4" s="58" t="s">
        <v>17</v>
      </c>
      <c r="F4" s="58" t="s">
        <v>18</v>
      </c>
      <c r="G4" s="58" t="s">
        <v>19</v>
      </c>
    </row>
    <row r="5">
      <c r="B5" s="57" t="s">
        <v>665</v>
      </c>
      <c r="C5" s="17"/>
      <c r="D5" s="57" t="s">
        <v>666</v>
      </c>
      <c r="E5" s="16"/>
      <c r="F5" s="16"/>
      <c r="G5" s="17"/>
    </row>
    <row r="6">
      <c r="B6" s="115" t="s">
        <v>667</v>
      </c>
      <c r="C6" s="17"/>
      <c r="D6" s="91" t="s">
        <v>75</v>
      </c>
      <c r="E6" s="91" t="s">
        <v>78</v>
      </c>
      <c r="F6" s="122">
        <v>1.0</v>
      </c>
      <c r="G6" s="91"/>
    </row>
    <row r="7">
      <c r="B7" s="115" t="s">
        <v>668</v>
      </c>
      <c r="C7" s="17"/>
      <c r="D7" s="91" t="s">
        <v>197</v>
      </c>
      <c r="E7" s="91" t="s">
        <v>503</v>
      </c>
      <c r="F7" s="122">
        <v>1.0</v>
      </c>
      <c r="G7" s="91"/>
    </row>
    <row r="8">
      <c r="B8" s="115" t="s">
        <v>669</v>
      </c>
      <c r="C8" s="17"/>
      <c r="D8" s="91" t="s">
        <v>75</v>
      </c>
      <c r="E8" s="121" t="s">
        <v>670</v>
      </c>
      <c r="F8" s="122">
        <v>1.0</v>
      </c>
      <c r="G8" s="91"/>
    </row>
    <row r="9">
      <c r="B9" s="115" t="s">
        <v>671</v>
      </c>
      <c r="C9" s="17"/>
      <c r="D9" s="91" t="s">
        <v>75</v>
      </c>
      <c r="E9" s="121" t="s">
        <v>672</v>
      </c>
      <c r="F9" s="122">
        <v>1.0</v>
      </c>
      <c r="G9" s="91"/>
    </row>
    <row r="10">
      <c r="B10" s="115" t="s">
        <v>673</v>
      </c>
      <c r="C10" s="17"/>
      <c r="D10" s="168" t="s">
        <v>674</v>
      </c>
      <c r="E10" s="121" t="s">
        <v>675</v>
      </c>
      <c r="F10" s="122">
        <v>1.0</v>
      </c>
      <c r="G10" s="91"/>
    </row>
    <row r="11">
      <c r="B11" s="78" t="s">
        <v>601</v>
      </c>
      <c r="C11" s="79"/>
      <c r="D11" s="80" t="s">
        <v>75</v>
      </c>
      <c r="E11" s="123" t="s">
        <v>78</v>
      </c>
      <c r="F11" s="81">
        <v>1.0</v>
      </c>
      <c r="G11" s="80"/>
    </row>
    <row r="12">
      <c r="B12" s="78" t="s">
        <v>676</v>
      </c>
      <c r="C12" s="79"/>
      <c r="D12" s="80" t="s">
        <v>168</v>
      </c>
      <c r="E12" s="123">
        <v>604405.0</v>
      </c>
      <c r="F12" s="81">
        <v>1.0</v>
      </c>
      <c r="G12" s="80" t="s">
        <v>677</v>
      </c>
    </row>
    <row r="13">
      <c r="B13" s="78" t="s">
        <v>572</v>
      </c>
      <c r="C13" s="79"/>
      <c r="D13" s="80" t="s">
        <v>78</v>
      </c>
      <c r="E13" s="123" t="s">
        <v>678</v>
      </c>
      <c r="F13" s="81">
        <v>1.0</v>
      </c>
      <c r="G13" s="80"/>
    </row>
    <row r="14">
      <c r="B14" s="78" t="s">
        <v>231</v>
      </c>
      <c r="C14" s="79"/>
      <c r="D14" s="80" t="s">
        <v>679</v>
      </c>
      <c r="E14" s="123">
        <v>12210.0</v>
      </c>
      <c r="F14" s="81">
        <v>1.0</v>
      </c>
      <c r="G14" s="80"/>
    </row>
    <row r="15">
      <c r="B15" s="78" t="s">
        <v>680</v>
      </c>
      <c r="C15" s="79"/>
      <c r="D15" s="80" t="s">
        <v>87</v>
      </c>
      <c r="E15" s="123" t="s">
        <v>681</v>
      </c>
      <c r="F15" s="81">
        <v>1.0</v>
      </c>
      <c r="G15" s="80"/>
    </row>
    <row r="16">
      <c r="B16" s="78" t="s">
        <v>572</v>
      </c>
      <c r="C16" s="79"/>
      <c r="D16" s="80" t="s">
        <v>168</v>
      </c>
      <c r="E16" s="123" t="s">
        <v>682</v>
      </c>
      <c r="F16" s="81">
        <v>1.0</v>
      </c>
      <c r="G16" s="80"/>
    </row>
    <row r="17">
      <c r="B17" s="78" t="s">
        <v>683</v>
      </c>
      <c r="C17" s="79"/>
      <c r="D17" s="80" t="s">
        <v>205</v>
      </c>
      <c r="E17" s="123">
        <v>2296.0</v>
      </c>
      <c r="F17" s="81">
        <v>1.0</v>
      </c>
      <c r="G17" s="80"/>
    </row>
    <row r="18">
      <c r="B18" s="78" t="s">
        <v>459</v>
      </c>
      <c r="C18" s="79"/>
      <c r="D18" s="80" t="s">
        <v>253</v>
      </c>
      <c r="E18" s="123" t="s">
        <v>78</v>
      </c>
      <c r="F18" s="81">
        <v>1.0</v>
      </c>
      <c r="G18" s="80"/>
    </row>
    <row r="19">
      <c r="B19" s="78" t="s">
        <v>80</v>
      </c>
      <c r="C19" s="79"/>
      <c r="D19" s="80" t="s">
        <v>222</v>
      </c>
      <c r="E19" s="123" t="s">
        <v>78</v>
      </c>
      <c r="F19" s="81">
        <v>1.0</v>
      </c>
      <c r="G19" s="80"/>
    </row>
    <row r="20">
      <c r="B20" s="78" t="s">
        <v>684</v>
      </c>
      <c r="C20" s="79"/>
      <c r="D20" s="80" t="s">
        <v>78</v>
      </c>
      <c r="E20" s="123" t="s">
        <v>685</v>
      </c>
      <c r="F20" s="81">
        <v>1.0</v>
      </c>
      <c r="G20" s="80"/>
    </row>
    <row r="21">
      <c r="B21" s="78" t="s">
        <v>686</v>
      </c>
      <c r="C21" s="79"/>
      <c r="D21" s="80" t="s">
        <v>78</v>
      </c>
      <c r="E21" s="123">
        <v>3370.0</v>
      </c>
      <c r="F21" s="81">
        <v>1.0</v>
      </c>
      <c r="G21" s="80"/>
    </row>
    <row r="22">
      <c r="B22" s="78" t="s">
        <v>687</v>
      </c>
      <c r="C22" s="79"/>
      <c r="D22" s="80" t="s">
        <v>688</v>
      </c>
      <c r="E22" s="123" t="s">
        <v>78</v>
      </c>
      <c r="F22" s="81">
        <v>1.0</v>
      </c>
      <c r="G22" s="80" t="s">
        <v>689</v>
      </c>
    </row>
    <row r="23">
      <c r="B23" s="78" t="s">
        <v>690</v>
      </c>
      <c r="C23" s="79"/>
      <c r="D23" s="80" t="s">
        <v>78</v>
      </c>
      <c r="E23" s="80" t="s">
        <v>78</v>
      </c>
      <c r="F23" s="81">
        <v>1.0</v>
      </c>
      <c r="G23" s="80"/>
    </row>
    <row r="24">
      <c r="B24" s="78" t="s">
        <v>691</v>
      </c>
      <c r="C24" s="79"/>
      <c r="D24" s="80" t="s">
        <v>197</v>
      </c>
      <c r="E24" s="80">
        <v>2331.0</v>
      </c>
      <c r="F24" s="81">
        <v>1.0</v>
      </c>
      <c r="G24" s="80"/>
    </row>
    <row r="25">
      <c r="B25" s="78" t="s">
        <v>281</v>
      </c>
      <c r="C25" s="79"/>
      <c r="D25" s="80" t="s">
        <v>87</v>
      </c>
      <c r="E25" s="80" t="s">
        <v>692</v>
      </c>
      <c r="F25" s="81">
        <v>1.0</v>
      </c>
      <c r="G25" s="80"/>
    </row>
    <row r="26">
      <c r="B26" s="78" t="s">
        <v>546</v>
      </c>
      <c r="C26" s="79"/>
      <c r="D26" s="80" t="s">
        <v>78</v>
      </c>
      <c r="E26" s="80" t="s">
        <v>78</v>
      </c>
      <c r="F26" s="81">
        <v>2.0</v>
      </c>
      <c r="G26" s="80"/>
    </row>
    <row r="27">
      <c r="B27" s="73" t="s">
        <v>693</v>
      </c>
      <c r="C27" s="17"/>
      <c r="D27" s="72" t="s">
        <v>87</v>
      </c>
      <c r="E27" s="72" t="s">
        <v>694</v>
      </c>
      <c r="F27" s="72">
        <v>2.0</v>
      </c>
      <c r="G27" s="72"/>
    </row>
    <row r="28">
      <c r="B28" s="73"/>
      <c r="C28" s="17"/>
      <c r="D28" s="72"/>
      <c r="E28" s="72"/>
      <c r="F28" s="72"/>
      <c r="G28" s="72"/>
    </row>
    <row r="29">
      <c r="B29" s="72" t="s">
        <v>38</v>
      </c>
      <c r="C29" s="72"/>
      <c r="D29" s="72"/>
      <c r="E29" s="72"/>
      <c r="F29" s="72">
        <f>SUM(F6:F28)</f>
        <v>24</v>
      </c>
      <c r="G29" s="72"/>
    </row>
  </sheetData>
  <mergeCells count="28">
    <mergeCell ref="B2:G2"/>
    <mergeCell ref="B3:G3"/>
    <mergeCell ref="B4:C4"/>
    <mergeCell ref="B5:C5"/>
    <mergeCell ref="D5:G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2:C22"/>
    <mergeCell ref="B23:C23"/>
    <mergeCell ref="B24:C24"/>
    <mergeCell ref="B25:C25"/>
    <mergeCell ref="B26:C26"/>
    <mergeCell ref="B27:C27"/>
    <mergeCell ref="B28:C28"/>
    <mergeCell ref="B15:C15"/>
    <mergeCell ref="B16:C16"/>
    <mergeCell ref="B17:C17"/>
    <mergeCell ref="B18:C18"/>
    <mergeCell ref="B19:C19"/>
    <mergeCell ref="B20:C20"/>
    <mergeCell ref="B21:C2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43"/>
    <col customWidth="1" min="3" max="3" width="19.43"/>
    <col customWidth="1" min="6" max="6" width="12.71"/>
    <col customWidth="1" min="7" max="7" width="17.29"/>
    <col customWidth="1" min="8" max="8" width="7.43"/>
    <col customWidth="1" min="13" max="13" width="12.14"/>
    <col customWidth="1" min="14" max="14" width="17.86"/>
  </cols>
  <sheetData>
    <row r="2">
      <c r="B2" s="28" t="s">
        <v>58</v>
      </c>
      <c r="C2" s="16"/>
      <c r="D2" s="16"/>
      <c r="E2" s="16"/>
      <c r="F2" s="16"/>
      <c r="G2" s="17"/>
      <c r="I2" s="18" t="s">
        <v>58</v>
      </c>
      <c r="J2" s="16"/>
      <c r="K2" s="16"/>
      <c r="L2" s="16"/>
      <c r="M2" s="16"/>
      <c r="N2" s="17"/>
    </row>
    <row r="3">
      <c r="B3" s="28" t="s">
        <v>14</v>
      </c>
      <c r="C3" s="16"/>
      <c r="D3" s="16"/>
      <c r="E3" s="16"/>
      <c r="F3" s="16"/>
      <c r="G3" s="17"/>
      <c r="I3" s="18" t="s">
        <v>14</v>
      </c>
      <c r="J3" s="16"/>
      <c r="K3" s="16"/>
      <c r="L3" s="16"/>
      <c r="M3" s="16"/>
      <c r="N3" s="17"/>
    </row>
    <row r="4">
      <c r="B4" s="28" t="s">
        <v>60</v>
      </c>
      <c r="C4" s="17"/>
      <c r="D4" s="30" t="s">
        <v>16</v>
      </c>
      <c r="E4" s="30" t="s">
        <v>17</v>
      </c>
      <c r="F4" s="30" t="s">
        <v>18</v>
      </c>
      <c r="G4" s="30" t="s">
        <v>19</v>
      </c>
      <c r="I4" s="18" t="s">
        <v>60</v>
      </c>
      <c r="J4" s="17"/>
      <c r="K4" s="19" t="s">
        <v>16</v>
      </c>
      <c r="L4" s="19" t="s">
        <v>17</v>
      </c>
      <c r="M4" s="19" t="s">
        <v>18</v>
      </c>
      <c r="N4" s="19" t="s">
        <v>19</v>
      </c>
    </row>
    <row r="5">
      <c r="B5" s="36" t="s">
        <v>695</v>
      </c>
      <c r="C5" s="17"/>
      <c r="D5" s="28" t="s">
        <v>696</v>
      </c>
      <c r="E5" s="16"/>
      <c r="F5" s="16"/>
      <c r="G5" s="17"/>
      <c r="I5" s="32" t="s">
        <v>697</v>
      </c>
      <c r="J5" s="17"/>
      <c r="K5" s="18" t="s">
        <v>64</v>
      </c>
      <c r="L5" s="16"/>
      <c r="M5" s="16"/>
      <c r="N5" s="17"/>
    </row>
    <row r="6">
      <c r="B6" s="41" t="s">
        <v>698</v>
      </c>
      <c r="C6" s="17"/>
      <c r="D6" s="42" t="s">
        <v>87</v>
      </c>
      <c r="E6" s="42" t="s">
        <v>699</v>
      </c>
      <c r="F6" s="42">
        <v>1.0</v>
      </c>
      <c r="G6" s="42"/>
      <c r="I6" s="39" t="s">
        <v>700</v>
      </c>
      <c r="J6" s="17"/>
      <c r="K6" s="40" t="s">
        <v>75</v>
      </c>
      <c r="L6" s="40" t="s">
        <v>701</v>
      </c>
      <c r="M6" s="40">
        <v>1.0</v>
      </c>
      <c r="N6" s="169"/>
    </row>
    <row r="7">
      <c r="B7" s="41" t="s">
        <v>91</v>
      </c>
      <c r="C7" s="17"/>
      <c r="D7" s="42" t="s">
        <v>78</v>
      </c>
      <c r="E7" s="42" t="s">
        <v>78</v>
      </c>
      <c r="F7" s="42">
        <v>2.0</v>
      </c>
      <c r="G7" s="42"/>
      <c r="I7" s="39" t="s">
        <v>702</v>
      </c>
      <c r="J7" s="17"/>
      <c r="K7" s="40" t="s">
        <v>75</v>
      </c>
      <c r="L7" s="40" t="s">
        <v>703</v>
      </c>
      <c r="M7" s="40">
        <v>1.0</v>
      </c>
      <c r="N7" s="42"/>
    </row>
    <row r="8">
      <c r="B8" s="41" t="s">
        <v>704</v>
      </c>
      <c r="C8" s="17"/>
      <c r="D8" s="42" t="s">
        <v>705</v>
      </c>
      <c r="E8" s="42" t="s">
        <v>706</v>
      </c>
      <c r="F8" s="42">
        <v>1.0</v>
      </c>
      <c r="G8" s="42"/>
      <c r="I8" s="39" t="s">
        <v>199</v>
      </c>
      <c r="J8" s="17"/>
      <c r="K8" s="40" t="s">
        <v>87</v>
      </c>
      <c r="L8" s="40" t="s">
        <v>200</v>
      </c>
      <c r="M8" s="40">
        <v>1.0</v>
      </c>
      <c r="N8" s="40"/>
    </row>
    <row r="9">
      <c r="B9" s="41" t="s">
        <v>707</v>
      </c>
      <c r="C9" s="17"/>
      <c r="D9" s="42" t="s">
        <v>78</v>
      </c>
      <c r="E9" s="42" t="s">
        <v>78</v>
      </c>
      <c r="F9" s="42">
        <v>1.0</v>
      </c>
      <c r="G9" s="42"/>
      <c r="I9" s="39" t="s">
        <v>173</v>
      </c>
      <c r="J9" s="17"/>
      <c r="K9" s="40" t="s">
        <v>75</v>
      </c>
      <c r="L9" s="40" t="s">
        <v>708</v>
      </c>
      <c r="M9" s="40">
        <v>1.0</v>
      </c>
      <c r="N9" s="40"/>
    </row>
    <row r="10">
      <c r="B10" s="41" t="s">
        <v>702</v>
      </c>
      <c r="C10" s="17"/>
      <c r="D10" s="42" t="s">
        <v>75</v>
      </c>
      <c r="E10" s="63" t="s">
        <v>78</v>
      </c>
      <c r="F10" s="42">
        <v>1.0</v>
      </c>
      <c r="G10" s="42"/>
      <c r="I10" s="39"/>
      <c r="J10" s="17"/>
      <c r="K10" s="40"/>
      <c r="L10" s="40"/>
      <c r="M10" s="40"/>
      <c r="N10" s="40"/>
    </row>
    <row r="11">
      <c r="B11" s="41" t="s">
        <v>700</v>
      </c>
      <c r="C11" s="17"/>
      <c r="D11" s="42" t="s">
        <v>87</v>
      </c>
      <c r="E11" s="42" t="s">
        <v>709</v>
      </c>
      <c r="F11" s="42">
        <v>2.0</v>
      </c>
      <c r="G11" s="42"/>
      <c r="I11" s="39"/>
      <c r="J11" s="17"/>
      <c r="K11" s="40"/>
      <c r="L11" s="45"/>
      <c r="M11" s="40"/>
      <c r="N11" s="42"/>
    </row>
    <row r="12">
      <c r="B12" s="41" t="s">
        <v>710</v>
      </c>
      <c r="C12" s="17"/>
      <c r="D12" s="42" t="s">
        <v>78</v>
      </c>
      <c r="E12" s="42" t="s">
        <v>78</v>
      </c>
      <c r="F12" s="42">
        <v>1.0</v>
      </c>
      <c r="G12" s="42"/>
      <c r="I12" s="39"/>
      <c r="J12" s="17"/>
      <c r="K12" s="40"/>
      <c r="L12" s="40"/>
      <c r="M12" s="40"/>
      <c r="N12" s="40"/>
    </row>
    <row r="13">
      <c r="B13" s="41" t="s">
        <v>711</v>
      </c>
      <c r="C13" s="17"/>
      <c r="D13" s="42" t="s">
        <v>75</v>
      </c>
      <c r="E13" s="63" t="s">
        <v>712</v>
      </c>
      <c r="F13" s="42">
        <v>1.0</v>
      </c>
      <c r="G13" s="42"/>
      <c r="I13" s="170" t="s">
        <v>38</v>
      </c>
      <c r="J13" s="171"/>
      <c r="K13" s="172"/>
      <c r="L13" s="172"/>
      <c r="M13" s="172">
        <f>SUM(M6:M12)</f>
        <v>4</v>
      </c>
      <c r="N13" s="172"/>
    </row>
    <row r="14">
      <c r="B14" s="41" t="s">
        <v>588</v>
      </c>
      <c r="C14" s="17"/>
      <c r="D14" s="42" t="s">
        <v>120</v>
      </c>
      <c r="E14" s="42" t="s">
        <v>121</v>
      </c>
      <c r="F14" s="42">
        <v>2.0</v>
      </c>
      <c r="G14" s="42"/>
      <c r="I14" s="173"/>
      <c r="J14" s="174"/>
      <c r="K14" s="173"/>
      <c r="L14" s="175"/>
      <c r="M14" s="173"/>
      <c r="N14" s="173"/>
    </row>
    <row r="15">
      <c r="B15" s="41" t="s">
        <v>80</v>
      </c>
      <c r="C15" s="17"/>
      <c r="D15" s="72" t="s">
        <v>713</v>
      </c>
      <c r="E15" s="72" t="s">
        <v>78</v>
      </c>
      <c r="F15" s="72">
        <v>2.0</v>
      </c>
      <c r="G15" s="72"/>
    </row>
    <row r="16">
      <c r="B16" s="73" t="s">
        <v>480</v>
      </c>
      <c r="C16" s="17"/>
      <c r="D16" s="72" t="s">
        <v>197</v>
      </c>
      <c r="E16" s="72" t="s">
        <v>503</v>
      </c>
      <c r="F16" s="72">
        <v>1.0</v>
      </c>
      <c r="G16" s="72"/>
    </row>
    <row r="17">
      <c r="B17" s="73" t="s">
        <v>199</v>
      </c>
      <c r="C17" s="17"/>
      <c r="D17" s="72" t="s">
        <v>78</v>
      </c>
      <c r="E17" s="72" t="s">
        <v>78</v>
      </c>
      <c r="F17" s="72">
        <v>1.0</v>
      </c>
      <c r="G17" s="72"/>
    </row>
    <row r="18">
      <c r="B18" s="73" t="s">
        <v>714</v>
      </c>
      <c r="C18" s="17"/>
      <c r="D18" s="72" t="s">
        <v>87</v>
      </c>
      <c r="E18" s="72" t="s">
        <v>715</v>
      </c>
      <c r="F18" s="72">
        <v>1.0</v>
      </c>
      <c r="G18" s="72"/>
    </row>
    <row r="19">
      <c r="B19" s="73" t="s">
        <v>38</v>
      </c>
      <c r="C19" s="17"/>
      <c r="D19" s="72"/>
      <c r="E19" s="72"/>
      <c r="F19" s="72">
        <f>SUM(F6:F18)</f>
        <v>17</v>
      </c>
      <c r="G19" s="72"/>
    </row>
    <row r="23">
      <c r="B23" s="28" t="s">
        <v>58</v>
      </c>
      <c r="C23" s="16"/>
      <c r="D23" s="16"/>
      <c r="E23" s="16"/>
      <c r="F23" s="16"/>
      <c r="G23" s="17"/>
      <c r="I23" s="18" t="s">
        <v>58</v>
      </c>
      <c r="J23" s="16"/>
      <c r="K23" s="16"/>
      <c r="L23" s="16"/>
      <c r="M23" s="16"/>
      <c r="N23" s="17"/>
    </row>
    <row r="24">
      <c r="B24" s="28" t="s">
        <v>14</v>
      </c>
      <c r="C24" s="16"/>
      <c r="D24" s="16"/>
      <c r="E24" s="16"/>
      <c r="F24" s="16"/>
      <c r="G24" s="17"/>
      <c r="I24" s="18" t="s">
        <v>14</v>
      </c>
      <c r="J24" s="16"/>
      <c r="K24" s="16"/>
      <c r="L24" s="16"/>
      <c r="M24" s="16"/>
      <c r="N24" s="17"/>
    </row>
    <row r="25">
      <c r="B25" s="28" t="s">
        <v>60</v>
      </c>
      <c r="C25" s="17"/>
      <c r="D25" s="30" t="s">
        <v>16</v>
      </c>
      <c r="E25" s="30" t="s">
        <v>17</v>
      </c>
      <c r="F25" s="30" t="s">
        <v>18</v>
      </c>
      <c r="G25" s="30" t="s">
        <v>19</v>
      </c>
      <c r="I25" s="18" t="s">
        <v>60</v>
      </c>
      <c r="J25" s="17"/>
      <c r="K25" s="19" t="s">
        <v>16</v>
      </c>
      <c r="L25" s="19" t="s">
        <v>17</v>
      </c>
      <c r="M25" s="19" t="s">
        <v>18</v>
      </c>
      <c r="N25" s="19" t="s">
        <v>19</v>
      </c>
    </row>
    <row r="26">
      <c r="B26" s="36" t="s">
        <v>716</v>
      </c>
      <c r="C26" s="17"/>
      <c r="D26" s="28" t="s">
        <v>141</v>
      </c>
      <c r="E26" s="16"/>
      <c r="F26" s="16"/>
      <c r="G26" s="17"/>
      <c r="I26" s="32" t="s">
        <v>717</v>
      </c>
      <c r="J26" s="17"/>
      <c r="K26" s="18" t="s">
        <v>373</v>
      </c>
      <c r="L26" s="16"/>
      <c r="M26" s="16"/>
      <c r="N26" s="17"/>
    </row>
    <row r="27">
      <c r="B27" s="41" t="s">
        <v>718</v>
      </c>
      <c r="C27" s="17"/>
      <c r="D27" s="42" t="s">
        <v>87</v>
      </c>
      <c r="E27" s="176">
        <v>168834.0</v>
      </c>
      <c r="F27" s="42">
        <v>1.0</v>
      </c>
      <c r="G27" s="177"/>
      <c r="I27" s="39" t="s">
        <v>700</v>
      </c>
      <c r="J27" s="17"/>
      <c r="K27" s="40" t="s">
        <v>75</v>
      </c>
      <c r="L27" s="40" t="s">
        <v>701</v>
      </c>
      <c r="M27" s="40">
        <v>1.0</v>
      </c>
      <c r="N27" s="169"/>
    </row>
    <row r="28">
      <c r="B28" s="41" t="s">
        <v>702</v>
      </c>
      <c r="C28" s="17"/>
      <c r="D28" s="42" t="s">
        <v>87</v>
      </c>
      <c r="E28" s="42" t="s">
        <v>719</v>
      </c>
      <c r="F28" s="42">
        <v>1.0</v>
      </c>
      <c r="G28" s="42"/>
      <c r="I28" s="39" t="s">
        <v>702</v>
      </c>
      <c r="J28" s="17"/>
      <c r="K28" s="40" t="s">
        <v>75</v>
      </c>
      <c r="L28" s="40" t="s">
        <v>703</v>
      </c>
      <c r="M28" s="40">
        <v>1.0</v>
      </c>
      <c r="N28" s="42"/>
    </row>
    <row r="29">
      <c r="B29" s="41" t="s">
        <v>720</v>
      </c>
      <c r="C29" s="17"/>
      <c r="D29" s="42" t="s">
        <v>78</v>
      </c>
      <c r="E29" s="42" t="s">
        <v>78</v>
      </c>
      <c r="F29" s="42">
        <v>1.0</v>
      </c>
      <c r="G29" s="42"/>
      <c r="I29" s="39" t="s">
        <v>199</v>
      </c>
      <c r="J29" s="17"/>
      <c r="K29" s="40" t="s">
        <v>87</v>
      </c>
      <c r="L29" s="40" t="s">
        <v>200</v>
      </c>
      <c r="M29" s="40">
        <v>1.0</v>
      </c>
      <c r="N29" s="40"/>
    </row>
    <row r="30">
      <c r="B30" s="41"/>
      <c r="C30" s="17"/>
      <c r="D30" s="42"/>
      <c r="E30" s="42"/>
      <c r="F30" s="42"/>
      <c r="G30" s="42"/>
      <c r="I30" s="39" t="s">
        <v>173</v>
      </c>
      <c r="J30" s="17"/>
      <c r="K30" s="40" t="s">
        <v>75</v>
      </c>
      <c r="L30" s="40" t="s">
        <v>708</v>
      </c>
      <c r="M30" s="40">
        <v>1.0</v>
      </c>
      <c r="N30" s="40"/>
    </row>
    <row r="31">
      <c r="B31" s="113" t="s">
        <v>38</v>
      </c>
      <c r="C31" s="17"/>
      <c r="D31" s="42"/>
      <c r="E31" s="42"/>
      <c r="F31" s="42">
        <f>SUM(F27:F30)</f>
        <v>3</v>
      </c>
      <c r="G31" s="42"/>
      <c r="I31" s="32" t="s">
        <v>38</v>
      </c>
      <c r="J31" s="17"/>
      <c r="K31" s="40"/>
      <c r="L31" s="40"/>
      <c r="M31" s="40">
        <f>SUM(M27:M30)</f>
        <v>4</v>
      </c>
      <c r="N31" s="40"/>
    </row>
    <row r="32">
      <c r="I32" s="10"/>
      <c r="K32" s="10"/>
      <c r="L32" s="10"/>
      <c r="M32" s="10"/>
      <c r="N32" s="10"/>
    </row>
  </sheetData>
  <mergeCells count="54">
    <mergeCell ref="B19:C19"/>
    <mergeCell ref="B23:G23"/>
    <mergeCell ref="I23:N23"/>
    <mergeCell ref="B24:G24"/>
    <mergeCell ref="I24:N24"/>
    <mergeCell ref="B25:C25"/>
    <mergeCell ref="I25:J25"/>
    <mergeCell ref="B26:C26"/>
    <mergeCell ref="D26:G26"/>
    <mergeCell ref="I26:J26"/>
    <mergeCell ref="K26:N26"/>
    <mergeCell ref="B27:C27"/>
    <mergeCell ref="I27:J27"/>
    <mergeCell ref="I28:J28"/>
    <mergeCell ref="B2:G2"/>
    <mergeCell ref="I2:N2"/>
    <mergeCell ref="B3:G3"/>
    <mergeCell ref="I3:N3"/>
    <mergeCell ref="B4:C4"/>
    <mergeCell ref="D5:G5"/>
    <mergeCell ref="K5:N5"/>
    <mergeCell ref="I11:J11"/>
    <mergeCell ref="I12:J12"/>
    <mergeCell ref="I13:J13"/>
    <mergeCell ref="I14:J14"/>
    <mergeCell ref="I4:J4"/>
    <mergeCell ref="I5:J5"/>
    <mergeCell ref="I6:J6"/>
    <mergeCell ref="I7:J7"/>
    <mergeCell ref="I8:J8"/>
    <mergeCell ref="I9:J9"/>
    <mergeCell ref="I10:J10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8:C28"/>
    <mergeCell ref="B29:C29"/>
    <mergeCell ref="B30:C30"/>
    <mergeCell ref="B31:C31"/>
    <mergeCell ref="I29:J29"/>
    <mergeCell ref="I30:J30"/>
    <mergeCell ref="I31:J31"/>
    <mergeCell ref="I32:J3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3" width="10.71"/>
    <col customWidth="1" min="4" max="4" width="18.86"/>
    <col customWidth="1" min="5" max="5" width="16.71"/>
    <col customWidth="1" min="6" max="6" width="10.71"/>
    <col customWidth="1" min="7" max="7" width="18.71"/>
    <col customWidth="1" min="8" max="9" width="10.71"/>
    <col customWidth="1" min="10" max="10" width="12.71"/>
    <col customWidth="1" min="11" max="11" width="10.71"/>
    <col customWidth="1" min="12" max="12" width="13.29"/>
    <col customWidth="1" min="13" max="13" width="10.71"/>
    <col customWidth="1" min="14" max="14" width="17.0"/>
    <col customWidth="1" min="15" max="15" width="20.43"/>
    <col customWidth="1" min="16" max="18" width="10.71"/>
    <col customWidth="1" min="19" max="19" width="12.43"/>
    <col customWidth="1" min="20" max="20" width="10.71"/>
    <col customWidth="1" min="21" max="21" width="21.43"/>
    <col customWidth="1" min="22" max="26" width="10.71"/>
  </cols>
  <sheetData>
    <row r="1" ht="15.75" customHeight="1"/>
    <row r="2" ht="15.75" customHeight="1">
      <c r="B2" s="178" t="s">
        <v>721</v>
      </c>
    </row>
    <row r="3" ht="15.75" customHeight="1"/>
    <row r="4" ht="15.75" customHeight="1"/>
    <row r="5" ht="15.75" customHeight="1"/>
    <row r="6" ht="15.75" customHeight="1">
      <c r="B6" s="57" t="s">
        <v>58</v>
      </c>
      <c r="C6" s="16"/>
      <c r="D6" s="16"/>
      <c r="E6" s="16"/>
      <c r="F6" s="16"/>
      <c r="G6" s="17"/>
      <c r="I6" s="57" t="s">
        <v>58</v>
      </c>
      <c r="J6" s="16"/>
      <c r="K6" s="16"/>
      <c r="L6" s="16"/>
      <c r="M6" s="16"/>
      <c r="N6" s="17"/>
    </row>
    <row r="7" ht="15.75" customHeight="1">
      <c r="B7" s="57" t="s">
        <v>14</v>
      </c>
      <c r="C7" s="16"/>
      <c r="D7" s="16"/>
      <c r="E7" s="16"/>
      <c r="F7" s="16"/>
      <c r="G7" s="17"/>
      <c r="I7" s="57" t="s">
        <v>14</v>
      </c>
      <c r="J7" s="16"/>
      <c r="K7" s="16"/>
      <c r="L7" s="16"/>
      <c r="M7" s="16"/>
      <c r="N7" s="17"/>
    </row>
    <row r="8" ht="15.75" customHeight="1">
      <c r="B8" s="57" t="s">
        <v>60</v>
      </c>
      <c r="C8" s="17"/>
      <c r="D8" s="58" t="s">
        <v>16</v>
      </c>
      <c r="E8" s="58" t="s">
        <v>17</v>
      </c>
      <c r="F8" s="58" t="s">
        <v>18</v>
      </c>
      <c r="G8" s="58" t="s">
        <v>19</v>
      </c>
      <c r="I8" s="57" t="s">
        <v>60</v>
      </c>
      <c r="J8" s="17"/>
      <c r="K8" s="58" t="s">
        <v>16</v>
      </c>
      <c r="L8" s="58" t="s">
        <v>17</v>
      </c>
      <c r="M8" s="58" t="s">
        <v>18</v>
      </c>
      <c r="N8" s="58" t="s">
        <v>19</v>
      </c>
    </row>
    <row r="9" ht="15.75" customHeight="1">
      <c r="B9" s="57" t="s">
        <v>722</v>
      </c>
      <c r="C9" s="17"/>
      <c r="D9" s="57" t="s">
        <v>64</v>
      </c>
      <c r="E9" s="16"/>
      <c r="F9" s="16"/>
      <c r="G9" s="17"/>
      <c r="I9" s="57" t="s">
        <v>723</v>
      </c>
      <c r="J9" s="17"/>
      <c r="K9" s="57" t="s">
        <v>64</v>
      </c>
      <c r="L9" s="16"/>
      <c r="M9" s="16"/>
      <c r="N9" s="17"/>
    </row>
    <row r="10" ht="15.75" customHeight="1">
      <c r="B10" s="87" t="s">
        <v>724</v>
      </c>
      <c r="C10" s="17"/>
      <c r="D10" s="108" t="s">
        <v>23</v>
      </c>
      <c r="E10" s="108" t="s">
        <v>725</v>
      </c>
      <c r="F10" s="109">
        <v>2.0</v>
      </c>
      <c r="G10" s="108"/>
      <c r="I10" s="87" t="s">
        <v>724</v>
      </c>
      <c r="J10" s="17"/>
      <c r="K10" s="108" t="s">
        <v>23</v>
      </c>
      <c r="L10" s="108" t="s">
        <v>725</v>
      </c>
      <c r="M10" s="109">
        <v>2.0</v>
      </c>
      <c r="N10" s="108"/>
    </row>
    <row r="11" ht="15.75" customHeight="1">
      <c r="B11" s="87" t="s">
        <v>726</v>
      </c>
      <c r="C11" s="17"/>
      <c r="D11" s="88" t="s">
        <v>69</v>
      </c>
      <c r="E11" s="108" t="s">
        <v>70</v>
      </c>
      <c r="F11" s="109">
        <v>2.0</v>
      </c>
      <c r="G11" s="108"/>
      <c r="I11" s="87" t="s">
        <v>726</v>
      </c>
      <c r="J11" s="17"/>
      <c r="K11" s="88" t="s">
        <v>69</v>
      </c>
      <c r="L11" s="108" t="s">
        <v>70</v>
      </c>
      <c r="M11" s="109">
        <v>2.0</v>
      </c>
      <c r="N11" s="108"/>
    </row>
    <row r="12" ht="15.75" customHeight="1">
      <c r="B12" s="87" t="s">
        <v>727</v>
      </c>
      <c r="C12" s="17"/>
      <c r="D12" s="108" t="s">
        <v>75</v>
      </c>
      <c r="E12" s="108" t="s">
        <v>728</v>
      </c>
      <c r="F12" s="109">
        <v>2.0</v>
      </c>
      <c r="G12" s="108"/>
      <c r="I12" s="87" t="s">
        <v>727</v>
      </c>
      <c r="J12" s="17"/>
      <c r="K12" s="108" t="s">
        <v>75</v>
      </c>
      <c r="L12" s="108" t="s">
        <v>728</v>
      </c>
      <c r="M12" s="109">
        <v>2.0</v>
      </c>
      <c r="N12" s="108"/>
    </row>
    <row r="13" ht="15.75" customHeight="1">
      <c r="B13" s="87" t="s">
        <v>729</v>
      </c>
      <c r="C13" s="17"/>
      <c r="D13" s="108" t="s">
        <v>75</v>
      </c>
      <c r="E13" s="108" t="s">
        <v>708</v>
      </c>
      <c r="F13" s="109">
        <v>2.0</v>
      </c>
      <c r="G13" s="108"/>
      <c r="I13" s="87" t="s">
        <v>729</v>
      </c>
      <c r="J13" s="17"/>
      <c r="K13" s="108" t="s">
        <v>730</v>
      </c>
      <c r="L13" s="108" t="s">
        <v>731</v>
      </c>
      <c r="M13" s="109">
        <v>2.0</v>
      </c>
      <c r="N13" s="108"/>
    </row>
    <row r="14" ht="15.75" customHeight="1">
      <c r="B14" s="87" t="s">
        <v>337</v>
      </c>
      <c r="C14" s="17"/>
      <c r="D14" s="108" t="s">
        <v>87</v>
      </c>
      <c r="E14" s="108" t="s">
        <v>732</v>
      </c>
      <c r="F14" s="109">
        <v>2.0</v>
      </c>
      <c r="G14" s="108"/>
      <c r="I14" s="87" t="s">
        <v>337</v>
      </c>
      <c r="J14" s="17"/>
      <c r="K14" s="108" t="s">
        <v>733</v>
      </c>
      <c r="L14" s="108" t="s">
        <v>734</v>
      </c>
      <c r="M14" s="109">
        <v>2.0</v>
      </c>
      <c r="N14" s="108"/>
    </row>
    <row r="15" ht="15.75" customHeight="1">
      <c r="B15" s="87" t="s">
        <v>735</v>
      </c>
      <c r="C15" s="17"/>
      <c r="D15" s="108" t="s">
        <v>222</v>
      </c>
      <c r="E15" s="108" t="s">
        <v>78</v>
      </c>
      <c r="F15" s="109">
        <v>2.0</v>
      </c>
      <c r="G15" s="108"/>
      <c r="I15" s="87" t="s">
        <v>735</v>
      </c>
      <c r="J15" s="17"/>
      <c r="K15" s="108" t="s">
        <v>222</v>
      </c>
      <c r="L15" s="108" t="s">
        <v>78</v>
      </c>
      <c r="M15" s="109">
        <v>2.0</v>
      </c>
      <c r="N15" s="108"/>
    </row>
    <row r="16" ht="15.75" customHeight="1">
      <c r="B16" s="87" t="s">
        <v>736</v>
      </c>
      <c r="C16" s="17"/>
      <c r="D16" s="108" t="s">
        <v>75</v>
      </c>
      <c r="E16" s="108" t="s">
        <v>288</v>
      </c>
      <c r="F16" s="109">
        <v>2.0</v>
      </c>
      <c r="G16" s="108"/>
      <c r="I16" s="87" t="s">
        <v>736</v>
      </c>
      <c r="J16" s="17"/>
      <c r="K16" s="108" t="s">
        <v>737</v>
      </c>
      <c r="L16" s="108" t="s">
        <v>288</v>
      </c>
      <c r="M16" s="109">
        <v>2.0</v>
      </c>
      <c r="N16" s="108"/>
    </row>
    <row r="17" ht="15.75" customHeight="1">
      <c r="B17" s="87" t="s">
        <v>738</v>
      </c>
      <c r="C17" s="17"/>
      <c r="D17" s="108" t="s">
        <v>23</v>
      </c>
      <c r="E17" s="108" t="s">
        <v>320</v>
      </c>
      <c r="F17" s="109">
        <v>1.0</v>
      </c>
      <c r="G17" s="108"/>
      <c r="I17" s="87" t="s">
        <v>738</v>
      </c>
      <c r="J17" s="17"/>
      <c r="K17" s="108" t="s">
        <v>23</v>
      </c>
      <c r="L17" s="108" t="s">
        <v>320</v>
      </c>
      <c r="M17" s="109">
        <v>2.0</v>
      </c>
      <c r="N17" s="108"/>
    </row>
    <row r="18" ht="15.75" customHeight="1">
      <c r="B18" s="87" t="s">
        <v>739</v>
      </c>
      <c r="C18" s="17"/>
      <c r="D18" s="108" t="s">
        <v>75</v>
      </c>
      <c r="E18" s="108" t="s">
        <v>608</v>
      </c>
      <c r="F18" s="109">
        <v>2.0</v>
      </c>
      <c r="G18" s="108"/>
      <c r="I18" s="87" t="s">
        <v>739</v>
      </c>
      <c r="J18" s="17"/>
      <c r="K18" s="108" t="s">
        <v>75</v>
      </c>
      <c r="L18" s="108" t="s">
        <v>608</v>
      </c>
      <c r="M18" s="109">
        <v>2.0</v>
      </c>
      <c r="N18" s="108"/>
    </row>
    <row r="19" ht="15.75" customHeight="1">
      <c r="B19" s="111" t="s">
        <v>38</v>
      </c>
      <c r="C19" s="17"/>
      <c r="D19" s="87"/>
      <c r="E19" s="179"/>
      <c r="F19" s="180">
        <f>SUM(F10:F18)</f>
        <v>17</v>
      </c>
      <c r="G19" s="88"/>
      <c r="I19" s="111" t="s">
        <v>38</v>
      </c>
      <c r="J19" s="17"/>
      <c r="K19" s="87"/>
      <c r="L19" s="179"/>
      <c r="M19" s="180">
        <f>SUM(M10:M18)</f>
        <v>18</v>
      </c>
      <c r="N19" s="88"/>
    </row>
    <row r="20" ht="15.75" customHeight="1"/>
    <row r="21" ht="15.75" customHeight="1"/>
    <row r="22" ht="15.75" customHeight="1"/>
    <row r="23" ht="15.75" customHeight="1"/>
    <row r="24" ht="15.75" customHeight="1">
      <c r="B24" s="28" t="s">
        <v>58</v>
      </c>
      <c r="C24" s="16"/>
      <c r="D24" s="16"/>
      <c r="E24" s="16"/>
      <c r="F24" s="16"/>
      <c r="G24" s="17"/>
      <c r="J24" s="28" t="s">
        <v>58</v>
      </c>
      <c r="K24" s="16"/>
      <c r="L24" s="16"/>
      <c r="M24" s="16"/>
      <c r="N24" s="16"/>
      <c r="O24" s="17"/>
    </row>
    <row r="25" ht="15.75" customHeight="1">
      <c r="B25" s="28" t="s">
        <v>14</v>
      </c>
      <c r="C25" s="16"/>
      <c r="D25" s="16"/>
      <c r="E25" s="16"/>
      <c r="F25" s="16"/>
      <c r="G25" s="17"/>
      <c r="J25" s="28" t="s">
        <v>14</v>
      </c>
      <c r="K25" s="16"/>
      <c r="L25" s="16"/>
      <c r="M25" s="16"/>
      <c r="N25" s="16"/>
      <c r="O25" s="17"/>
    </row>
    <row r="26" ht="15.75" customHeight="1">
      <c r="B26" s="28" t="s">
        <v>60</v>
      </c>
      <c r="C26" s="17"/>
      <c r="D26" s="30" t="s">
        <v>16</v>
      </c>
      <c r="E26" s="30" t="s">
        <v>17</v>
      </c>
      <c r="F26" s="30" t="s">
        <v>18</v>
      </c>
      <c r="G26" s="30" t="s">
        <v>19</v>
      </c>
      <c r="J26" s="28" t="s">
        <v>60</v>
      </c>
      <c r="K26" s="17"/>
      <c r="L26" s="30" t="s">
        <v>16</v>
      </c>
      <c r="M26" s="30" t="s">
        <v>17</v>
      </c>
      <c r="N26" s="30" t="s">
        <v>18</v>
      </c>
      <c r="O26" s="30" t="s">
        <v>19</v>
      </c>
    </row>
    <row r="27" ht="15.75" customHeight="1">
      <c r="B27" s="28" t="s">
        <v>740</v>
      </c>
      <c r="C27" s="17"/>
      <c r="D27" s="181" t="s">
        <v>741</v>
      </c>
      <c r="E27" s="16"/>
      <c r="F27" s="16"/>
      <c r="G27" s="17"/>
      <c r="J27" s="28" t="s">
        <v>742</v>
      </c>
      <c r="K27" s="17"/>
      <c r="L27" s="181" t="s">
        <v>743</v>
      </c>
      <c r="M27" s="16"/>
      <c r="N27" s="16"/>
      <c r="O27" s="17"/>
    </row>
    <row r="28" ht="15.75" customHeight="1">
      <c r="B28" s="53" t="s">
        <v>724</v>
      </c>
      <c r="C28" s="17"/>
      <c r="D28" s="182" t="s">
        <v>92</v>
      </c>
      <c r="E28" s="182" t="s">
        <v>744</v>
      </c>
      <c r="F28" s="182">
        <v>2.0</v>
      </c>
      <c r="G28" s="4"/>
      <c r="J28" s="39" t="s">
        <v>724</v>
      </c>
      <c r="K28" s="17"/>
      <c r="L28" s="4" t="s">
        <v>745</v>
      </c>
      <c r="M28" s="4" t="s">
        <v>746</v>
      </c>
      <c r="N28" s="4">
        <v>1.0</v>
      </c>
      <c r="O28" s="4"/>
    </row>
    <row r="29" ht="15.75" customHeight="1">
      <c r="B29" s="40"/>
      <c r="C29" s="40"/>
      <c r="D29" s="76"/>
      <c r="E29" s="4"/>
      <c r="F29" s="4"/>
      <c r="G29" s="4"/>
      <c r="J29" s="39" t="s">
        <v>724</v>
      </c>
      <c r="K29" s="17"/>
      <c r="L29" s="76" t="s">
        <v>747</v>
      </c>
      <c r="M29" s="4" t="s">
        <v>744</v>
      </c>
      <c r="N29" s="4">
        <v>1.0</v>
      </c>
      <c r="O29" s="4"/>
    </row>
    <row r="30" ht="15.75" customHeight="1">
      <c r="B30" s="53" t="s">
        <v>726</v>
      </c>
      <c r="C30" s="17"/>
      <c r="D30" s="183" t="s">
        <v>748</v>
      </c>
      <c r="E30" s="182" t="s">
        <v>70</v>
      </c>
      <c r="F30" s="182">
        <v>2.0</v>
      </c>
      <c r="G30" s="4"/>
      <c r="J30" s="39" t="s">
        <v>726</v>
      </c>
      <c r="K30" s="17"/>
      <c r="L30" s="76" t="s">
        <v>748</v>
      </c>
      <c r="M30" s="4" t="s">
        <v>70</v>
      </c>
      <c r="N30" s="4">
        <v>2.0</v>
      </c>
      <c r="O30" s="4"/>
    </row>
    <row r="31" ht="15.75" customHeight="1">
      <c r="B31" s="53" t="s">
        <v>727</v>
      </c>
      <c r="C31" s="17"/>
      <c r="D31" s="182" t="s">
        <v>749</v>
      </c>
      <c r="E31" s="182" t="s">
        <v>750</v>
      </c>
      <c r="F31" s="182">
        <v>2.0</v>
      </c>
      <c r="G31" s="4"/>
      <c r="J31" s="39" t="s">
        <v>727</v>
      </c>
      <c r="K31" s="17"/>
      <c r="L31" s="4" t="s">
        <v>749</v>
      </c>
      <c r="M31" s="4" t="s">
        <v>750</v>
      </c>
      <c r="N31" s="4">
        <v>2.0</v>
      </c>
      <c r="O31" s="4"/>
    </row>
    <row r="32" ht="15.75" customHeight="1">
      <c r="B32" s="39" t="s">
        <v>729</v>
      </c>
      <c r="C32" s="17"/>
      <c r="D32" s="4" t="s">
        <v>749</v>
      </c>
      <c r="E32" s="4" t="s">
        <v>708</v>
      </c>
      <c r="F32" s="4">
        <v>2.0</v>
      </c>
      <c r="G32" s="4"/>
      <c r="J32" s="39" t="s">
        <v>729</v>
      </c>
      <c r="K32" s="17"/>
      <c r="L32" s="4" t="s">
        <v>749</v>
      </c>
      <c r="M32" s="4" t="s">
        <v>708</v>
      </c>
      <c r="N32" s="4">
        <v>2.0</v>
      </c>
      <c r="O32" s="4"/>
    </row>
    <row r="33" ht="15.75" customHeight="1">
      <c r="B33" s="53" t="s">
        <v>337</v>
      </c>
      <c r="C33" s="17"/>
      <c r="D33" s="182" t="s">
        <v>751</v>
      </c>
      <c r="E33" s="182" t="s">
        <v>200</v>
      </c>
      <c r="F33" s="182">
        <v>2.0</v>
      </c>
      <c r="G33" s="4"/>
      <c r="J33" s="39" t="s">
        <v>337</v>
      </c>
      <c r="K33" s="17"/>
      <c r="L33" s="4" t="s">
        <v>751</v>
      </c>
      <c r="M33" s="4" t="s">
        <v>200</v>
      </c>
      <c r="N33" s="4">
        <v>2.0</v>
      </c>
      <c r="O33" s="4"/>
    </row>
    <row r="34" ht="15.75" customHeight="1">
      <c r="B34" s="53" t="s">
        <v>735</v>
      </c>
      <c r="C34" s="17"/>
      <c r="D34" s="182" t="s">
        <v>752</v>
      </c>
      <c r="E34" s="182" t="s">
        <v>78</v>
      </c>
      <c r="F34" s="182">
        <v>2.0</v>
      </c>
      <c r="G34" s="4"/>
      <c r="J34" s="39" t="s">
        <v>735</v>
      </c>
      <c r="K34" s="17"/>
      <c r="L34" s="4" t="s">
        <v>752</v>
      </c>
      <c r="M34" s="4" t="s">
        <v>78</v>
      </c>
      <c r="N34" s="4">
        <v>2.0</v>
      </c>
      <c r="O34" s="4"/>
    </row>
    <row r="35" ht="15.75" customHeight="1">
      <c r="B35" s="53" t="s">
        <v>736</v>
      </c>
      <c r="C35" s="17"/>
      <c r="D35" s="182" t="s">
        <v>753</v>
      </c>
      <c r="E35" s="182" t="s">
        <v>754</v>
      </c>
      <c r="F35" s="182">
        <v>1.0</v>
      </c>
      <c r="G35" s="4"/>
      <c r="J35" s="39" t="s">
        <v>736</v>
      </c>
      <c r="K35" s="17"/>
      <c r="L35" s="4" t="s">
        <v>749</v>
      </c>
      <c r="M35" s="4" t="s">
        <v>755</v>
      </c>
      <c r="N35" s="4">
        <v>1.0</v>
      </c>
      <c r="O35" s="4"/>
    </row>
    <row r="36" ht="15.75" customHeight="1">
      <c r="B36" s="53" t="s">
        <v>736</v>
      </c>
      <c r="C36" s="17"/>
      <c r="D36" s="182" t="s">
        <v>756</v>
      </c>
      <c r="E36" s="182" t="s">
        <v>286</v>
      </c>
      <c r="F36" s="182">
        <v>1.0</v>
      </c>
      <c r="G36" s="4"/>
      <c r="J36" s="39" t="s">
        <v>736</v>
      </c>
      <c r="K36" s="17"/>
      <c r="L36" s="4" t="s">
        <v>745</v>
      </c>
      <c r="M36" s="4" t="s">
        <v>755</v>
      </c>
      <c r="N36" s="4">
        <v>1.0</v>
      </c>
      <c r="O36" s="4"/>
    </row>
    <row r="37" ht="15.75" customHeight="1">
      <c r="B37" s="39" t="s">
        <v>757</v>
      </c>
      <c r="C37" s="17"/>
      <c r="D37" s="4" t="s">
        <v>749</v>
      </c>
      <c r="E37" s="4" t="s">
        <v>758</v>
      </c>
      <c r="F37" s="4">
        <v>2.0</v>
      </c>
      <c r="G37" s="4"/>
      <c r="J37" s="39" t="s">
        <v>757</v>
      </c>
      <c r="K37" s="17"/>
      <c r="L37" s="4" t="s">
        <v>749</v>
      </c>
      <c r="M37" s="4" t="s">
        <v>758</v>
      </c>
      <c r="N37" s="4">
        <v>2.0</v>
      </c>
      <c r="O37" s="4"/>
    </row>
    <row r="38" ht="15.75" customHeight="1">
      <c r="B38" s="40"/>
      <c r="C38" s="40"/>
      <c r="D38" s="4"/>
      <c r="E38" s="4"/>
      <c r="F38" s="4"/>
      <c r="G38" s="4"/>
      <c r="J38" s="39" t="s">
        <v>738</v>
      </c>
      <c r="K38" s="17"/>
      <c r="L38" s="4" t="s">
        <v>747</v>
      </c>
      <c r="M38" s="4" t="s">
        <v>759</v>
      </c>
      <c r="N38" s="4">
        <v>1.0</v>
      </c>
      <c r="O38" s="4"/>
    </row>
    <row r="39" ht="15.75" customHeight="1">
      <c r="B39" s="39" t="s">
        <v>738</v>
      </c>
      <c r="C39" s="17"/>
      <c r="D39" s="4" t="s">
        <v>756</v>
      </c>
      <c r="E39" s="4" t="s">
        <v>320</v>
      </c>
      <c r="F39" s="4">
        <v>1.0</v>
      </c>
      <c r="G39" s="4"/>
      <c r="J39" s="39" t="s">
        <v>738</v>
      </c>
      <c r="K39" s="17"/>
      <c r="L39" s="4" t="s">
        <v>745</v>
      </c>
      <c r="M39" s="4">
        <v>2220269.0</v>
      </c>
      <c r="N39" s="4">
        <v>1.0</v>
      </c>
      <c r="O39" s="4"/>
    </row>
    <row r="40" ht="15.75" customHeight="1">
      <c r="B40" s="32" t="s">
        <v>38</v>
      </c>
      <c r="C40" s="17"/>
      <c r="D40" s="18"/>
      <c r="E40" s="184"/>
      <c r="F40" s="184">
        <f>SUM(F28:F39)</f>
        <v>17</v>
      </c>
      <c r="G40" s="185"/>
      <c r="J40" s="32" t="s">
        <v>38</v>
      </c>
      <c r="K40" s="17"/>
      <c r="L40" s="18"/>
      <c r="M40" s="184"/>
      <c r="N40" s="184">
        <f>SUM(N28:N39)</f>
        <v>18</v>
      </c>
      <c r="O40" s="185"/>
    </row>
    <row r="41" ht="15.75" customHeight="1"/>
    <row r="42" ht="15.75" customHeight="1"/>
    <row r="43" ht="15.75" customHeight="1"/>
    <row r="44" ht="15.75" customHeight="1"/>
    <row r="45" ht="15.75" customHeight="1">
      <c r="B45" s="28" t="s">
        <v>58</v>
      </c>
      <c r="C45" s="16"/>
      <c r="D45" s="16"/>
      <c r="E45" s="16"/>
      <c r="F45" s="16"/>
      <c r="G45" s="17"/>
    </row>
    <row r="46" ht="15.75" customHeight="1">
      <c r="B46" s="28" t="s">
        <v>14</v>
      </c>
      <c r="C46" s="16"/>
      <c r="D46" s="16"/>
      <c r="E46" s="16"/>
      <c r="F46" s="16"/>
      <c r="G46" s="17"/>
    </row>
    <row r="47" ht="15.75" customHeight="1">
      <c r="B47" s="28" t="s">
        <v>60</v>
      </c>
      <c r="C47" s="17"/>
      <c r="D47" s="30" t="s">
        <v>16</v>
      </c>
      <c r="E47" s="30" t="s">
        <v>17</v>
      </c>
      <c r="F47" s="30" t="s">
        <v>18</v>
      </c>
      <c r="G47" s="30" t="s">
        <v>19</v>
      </c>
    </row>
    <row r="48" ht="15.75" customHeight="1">
      <c r="B48" s="28" t="s">
        <v>760</v>
      </c>
      <c r="C48" s="17"/>
      <c r="D48" s="181" t="s">
        <v>761</v>
      </c>
      <c r="E48" s="16"/>
      <c r="F48" s="16"/>
      <c r="G48" s="17"/>
    </row>
    <row r="49" ht="15.75" customHeight="1">
      <c r="B49" s="53" t="s">
        <v>724</v>
      </c>
      <c r="C49" s="17"/>
      <c r="D49" s="182" t="s">
        <v>92</v>
      </c>
      <c r="E49" s="182" t="s">
        <v>744</v>
      </c>
      <c r="F49" s="182">
        <v>2.0</v>
      </c>
      <c r="G49" s="72"/>
      <c r="H49" s="186">
        <v>45689.0</v>
      </c>
    </row>
    <row r="50" ht="15.75" customHeight="1">
      <c r="B50" s="53" t="s">
        <v>726</v>
      </c>
      <c r="C50" s="17"/>
      <c r="D50" s="183" t="s">
        <v>762</v>
      </c>
      <c r="E50" s="182" t="s">
        <v>70</v>
      </c>
      <c r="F50" s="182">
        <v>1.0</v>
      </c>
      <c r="G50" s="72"/>
      <c r="H50" s="187">
        <v>12.0</v>
      </c>
    </row>
    <row r="51" ht="15.75" customHeight="1">
      <c r="B51" s="53" t="s">
        <v>726</v>
      </c>
      <c r="C51" s="17"/>
      <c r="D51" s="183" t="s">
        <v>763</v>
      </c>
      <c r="E51" s="182" t="s">
        <v>746</v>
      </c>
      <c r="F51" s="182">
        <v>1.0</v>
      </c>
      <c r="G51" s="72"/>
      <c r="H51" s="187">
        <v>13.0</v>
      </c>
    </row>
    <row r="52" ht="15.75" customHeight="1">
      <c r="B52" s="53" t="s">
        <v>727</v>
      </c>
      <c r="C52" s="17"/>
      <c r="D52" s="182" t="s">
        <v>749</v>
      </c>
      <c r="E52" s="182" t="s">
        <v>750</v>
      </c>
      <c r="F52" s="182">
        <v>2.0</v>
      </c>
      <c r="G52" s="188"/>
      <c r="H52" s="187" t="s">
        <v>764</v>
      </c>
    </row>
    <row r="53" ht="15.75" customHeight="1">
      <c r="B53" s="53" t="s">
        <v>729</v>
      </c>
      <c r="C53" s="17"/>
      <c r="D53" s="182" t="s">
        <v>749</v>
      </c>
      <c r="E53" s="182" t="s">
        <v>708</v>
      </c>
      <c r="F53" s="182">
        <v>2.0</v>
      </c>
      <c r="G53" s="188">
        <v>1.0</v>
      </c>
      <c r="H53" s="187">
        <v>-9.0</v>
      </c>
    </row>
    <row r="54" ht="15.75" customHeight="1">
      <c r="B54" s="53" t="s">
        <v>337</v>
      </c>
      <c r="C54" s="17"/>
      <c r="D54" s="182" t="s">
        <v>751</v>
      </c>
      <c r="E54" s="182" t="s">
        <v>765</v>
      </c>
      <c r="F54" s="182">
        <v>2.0</v>
      </c>
      <c r="G54" s="72" t="s">
        <v>766</v>
      </c>
      <c r="H54" s="186">
        <v>45971.0</v>
      </c>
    </row>
    <row r="55" ht="15.75" customHeight="1">
      <c r="B55" s="53" t="s">
        <v>735</v>
      </c>
      <c r="C55" s="17"/>
      <c r="D55" s="182" t="s">
        <v>752</v>
      </c>
      <c r="E55" s="182" t="s">
        <v>78</v>
      </c>
      <c r="F55" s="182">
        <v>2.0</v>
      </c>
      <c r="G55" s="72"/>
      <c r="H55" s="186">
        <v>45813.0</v>
      </c>
    </row>
    <row r="56" ht="15.75" customHeight="1">
      <c r="B56" s="53" t="s">
        <v>736</v>
      </c>
      <c r="C56" s="17"/>
      <c r="D56" s="182" t="s">
        <v>753</v>
      </c>
      <c r="E56" s="182" t="s">
        <v>754</v>
      </c>
      <c r="F56" s="182">
        <v>1.0</v>
      </c>
      <c r="G56" s="72"/>
      <c r="H56" s="187">
        <v>3.0</v>
      </c>
    </row>
    <row r="57" ht="15.75" customHeight="1">
      <c r="B57" s="53" t="s">
        <v>736</v>
      </c>
      <c r="C57" s="17"/>
      <c r="D57" s="182" t="s">
        <v>756</v>
      </c>
      <c r="E57" s="182" t="s">
        <v>286</v>
      </c>
      <c r="F57" s="182">
        <v>1.0</v>
      </c>
      <c r="G57" s="72"/>
      <c r="H57" s="187">
        <v>4.0</v>
      </c>
    </row>
    <row r="58" ht="15.75" customHeight="1">
      <c r="B58" s="189" t="s">
        <v>724</v>
      </c>
      <c r="C58" s="17"/>
      <c r="D58" s="72" t="s">
        <v>749</v>
      </c>
      <c r="E58" s="72" t="s">
        <v>758</v>
      </c>
      <c r="F58" s="188">
        <v>0.0</v>
      </c>
      <c r="G58" s="188">
        <v>1.0</v>
      </c>
    </row>
    <row r="59" ht="15.75" customHeight="1">
      <c r="B59" s="53" t="s">
        <v>738</v>
      </c>
      <c r="C59" s="17"/>
      <c r="D59" s="72" t="s">
        <v>756</v>
      </c>
      <c r="E59" s="72" t="s">
        <v>320</v>
      </c>
      <c r="F59" s="72">
        <v>2.0</v>
      </c>
      <c r="G59" s="190">
        <v>1.0</v>
      </c>
      <c r="H59" s="187">
        <v>2.0</v>
      </c>
    </row>
    <row r="60" ht="15.75" customHeight="1">
      <c r="B60" s="32" t="s">
        <v>38</v>
      </c>
      <c r="C60" s="17"/>
      <c r="D60" s="18"/>
      <c r="E60" s="184"/>
      <c r="F60" s="184">
        <f>SUM(F49:F59)</f>
        <v>16</v>
      </c>
      <c r="G60" s="185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</sheetData>
  <mergeCells count="82">
    <mergeCell ref="B28:C28"/>
    <mergeCell ref="B30:C30"/>
    <mergeCell ref="B31:C31"/>
    <mergeCell ref="B32:C32"/>
    <mergeCell ref="B33:C33"/>
    <mergeCell ref="B34:C34"/>
    <mergeCell ref="B35:C35"/>
    <mergeCell ref="B36:C36"/>
    <mergeCell ref="B37:C37"/>
    <mergeCell ref="B39:C39"/>
    <mergeCell ref="B40:C40"/>
    <mergeCell ref="B45:G45"/>
    <mergeCell ref="B46:G46"/>
    <mergeCell ref="B47:C47"/>
    <mergeCell ref="B54:C54"/>
    <mergeCell ref="B55:C55"/>
    <mergeCell ref="B56:C56"/>
    <mergeCell ref="B57:C57"/>
    <mergeCell ref="B58:C58"/>
    <mergeCell ref="B59:C59"/>
    <mergeCell ref="B60:C60"/>
    <mergeCell ref="B48:C48"/>
    <mergeCell ref="D48:G48"/>
    <mergeCell ref="B49:C49"/>
    <mergeCell ref="B50:C50"/>
    <mergeCell ref="B51:C51"/>
    <mergeCell ref="B52:C52"/>
    <mergeCell ref="B53:C53"/>
    <mergeCell ref="B2:V4"/>
    <mergeCell ref="B6:G6"/>
    <mergeCell ref="I6:N6"/>
    <mergeCell ref="B7:G7"/>
    <mergeCell ref="I7:N7"/>
    <mergeCell ref="B8:C8"/>
    <mergeCell ref="I8:J8"/>
    <mergeCell ref="I12:J12"/>
    <mergeCell ref="I13:J13"/>
    <mergeCell ref="I14:J14"/>
    <mergeCell ref="I15:J15"/>
    <mergeCell ref="I16:J16"/>
    <mergeCell ref="I17:J17"/>
    <mergeCell ref="I18:J18"/>
    <mergeCell ref="I19:J19"/>
    <mergeCell ref="B9:C9"/>
    <mergeCell ref="D9:G9"/>
    <mergeCell ref="I9:J9"/>
    <mergeCell ref="K9:N9"/>
    <mergeCell ref="B10:C10"/>
    <mergeCell ref="I10:J10"/>
    <mergeCell ref="I11:J11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4:G24"/>
    <mergeCell ref="J24:O24"/>
    <mergeCell ref="B25:G25"/>
    <mergeCell ref="J25:O25"/>
    <mergeCell ref="J26:K26"/>
    <mergeCell ref="B26:C26"/>
    <mergeCell ref="B27:C27"/>
    <mergeCell ref="D27:G27"/>
    <mergeCell ref="J27:K27"/>
    <mergeCell ref="L27:O27"/>
    <mergeCell ref="J28:K28"/>
    <mergeCell ref="J29:K29"/>
    <mergeCell ref="J37:K37"/>
    <mergeCell ref="J38:K38"/>
    <mergeCell ref="J39:K39"/>
    <mergeCell ref="J40:K40"/>
    <mergeCell ref="J30:K30"/>
    <mergeCell ref="J31:K31"/>
    <mergeCell ref="J32:K32"/>
    <mergeCell ref="J33:K33"/>
    <mergeCell ref="J34:K34"/>
    <mergeCell ref="J35:K35"/>
    <mergeCell ref="J36:K36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5.29"/>
    <col customWidth="1" min="4" max="4" width="17.29"/>
    <col customWidth="1" min="5" max="5" width="17.14"/>
    <col customWidth="1" min="6" max="6" width="16.71"/>
    <col customWidth="1" min="7" max="7" width="20.14"/>
    <col customWidth="1" min="8" max="9" width="10.71"/>
    <col customWidth="1" min="10" max="10" width="26.0"/>
    <col customWidth="1" min="11" max="13" width="10.71"/>
    <col customWidth="1" min="14" max="14" width="32.71"/>
    <col customWidth="1" min="15" max="26" width="10.71"/>
  </cols>
  <sheetData>
    <row r="1">
      <c r="B1" s="28" t="s">
        <v>58</v>
      </c>
      <c r="C1" s="16"/>
      <c r="D1" s="16"/>
      <c r="E1" s="16"/>
      <c r="F1" s="16"/>
      <c r="G1" s="17"/>
      <c r="I1" s="28" t="s">
        <v>58</v>
      </c>
      <c r="J1" s="16"/>
      <c r="K1" s="16"/>
      <c r="L1" s="16"/>
      <c r="M1" s="16"/>
      <c r="N1" s="17"/>
    </row>
    <row r="2">
      <c r="B2" s="28" t="s">
        <v>14</v>
      </c>
      <c r="C2" s="16"/>
      <c r="D2" s="16"/>
      <c r="E2" s="16"/>
      <c r="F2" s="16"/>
      <c r="G2" s="17"/>
      <c r="I2" s="28" t="s">
        <v>14</v>
      </c>
      <c r="J2" s="16"/>
      <c r="K2" s="16"/>
      <c r="L2" s="16"/>
      <c r="M2" s="16"/>
      <c r="N2" s="17"/>
    </row>
    <row r="3">
      <c r="B3" s="28" t="s">
        <v>60</v>
      </c>
      <c r="C3" s="17"/>
      <c r="D3" s="30" t="s">
        <v>16</v>
      </c>
      <c r="E3" s="30" t="s">
        <v>17</v>
      </c>
      <c r="F3" s="30" t="s">
        <v>18</v>
      </c>
      <c r="G3" s="30" t="s">
        <v>19</v>
      </c>
      <c r="I3" s="28" t="s">
        <v>60</v>
      </c>
      <c r="J3" s="17"/>
      <c r="K3" s="30" t="s">
        <v>16</v>
      </c>
      <c r="L3" s="30" t="s">
        <v>17</v>
      </c>
      <c r="M3" s="30" t="s">
        <v>18</v>
      </c>
      <c r="N3" s="30" t="s">
        <v>19</v>
      </c>
    </row>
    <row r="4">
      <c r="B4" s="28" t="s">
        <v>767</v>
      </c>
      <c r="C4" s="17"/>
      <c r="D4" s="28" t="s">
        <v>768</v>
      </c>
      <c r="E4" s="16"/>
      <c r="F4" s="16"/>
      <c r="G4" s="17"/>
      <c r="I4" s="28" t="s">
        <v>769</v>
      </c>
      <c r="J4" s="17"/>
      <c r="K4" s="28" t="s">
        <v>770</v>
      </c>
      <c r="L4" s="16"/>
      <c r="M4" s="16"/>
      <c r="N4" s="17"/>
    </row>
    <row r="5">
      <c r="B5" s="41" t="s">
        <v>771</v>
      </c>
      <c r="C5" s="17"/>
      <c r="D5" s="72" t="s">
        <v>78</v>
      </c>
      <c r="E5" s="72" t="s">
        <v>78</v>
      </c>
      <c r="F5" s="72">
        <v>2.0</v>
      </c>
      <c r="G5" s="72"/>
      <c r="I5" s="53" t="s">
        <v>771</v>
      </c>
      <c r="J5" s="17"/>
      <c r="K5" s="182" t="s">
        <v>78</v>
      </c>
      <c r="L5" s="182" t="s">
        <v>78</v>
      </c>
      <c r="M5" s="182">
        <v>2.0</v>
      </c>
      <c r="N5" s="188">
        <v>1.0</v>
      </c>
    </row>
    <row r="6">
      <c r="B6" s="41" t="s">
        <v>772</v>
      </c>
      <c r="C6" s="17"/>
      <c r="D6" s="72" t="s">
        <v>78</v>
      </c>
      <c r="E6" s="72" t="s">
        <v>78</v>
      </c>
      <c r="F6" s="72">
        <v>6.0</v>
      </c>
      <c r="G6" s="72"/>
      <c r="I6" s="41" t="s">
        <v>772</v>
      </c>
      <c r="J6" s="17"/>
      <c r="K6" s="72" t="s">
        <v>78</v>
      </c>
      <c r="L6" s="72" t="s">
        <v>78</v>
      </c>
      <c r="M6" s="72">
        <v>7.0</v>
      </c>
      <c r="N6" s="72"/>
    </row>
    <row r="7">
      <c r="B7" s="41" t="s">
        <v>773</v>
      </c>
      <c r="C7" s="17"/>
      <c r="D7" s="72" t="s">
        <v>78</v>
      </c>
      <c r="E7" s="92" t="s">
        <v>162</v>
      </c>
      <c r="F7" s="72">
        <v>1.0</v>
      </c>
      <c r="G7" s="72"/>
      <c r="I7" s="53" t="s">
        <v>773</v>
      </c>
      <c r="J7" s="17"/>
      <c r="K7" s="72" t="s">
        <v>338</v>
      </c>
      <c r="L7" s="92" t="s">
        <v>341</v>
      </c>
      <c r="M7" s="72">
        <v>1.0</v>
      </c>
      <c r="N7" s="188">
        <v>1.0</v>
      </c>
    </row>
    <row r="8">
      <c r="B8" s="41" t="s">
        <v>774</v>
      </c>
      <c r="C8" s="17"/>
      <c r="D8" s="72" t="s">
        <v>775</v>
      </c>
      <c r="E8" s="92" t="s">
        <v>776</v>
      </c>
      <c r="F8" s="72">
        <v>1.0</v>
      </c>
      <c r="G8" s="72"/>
      <c r="I8" s="41" t="s">
        <v>774</v>
      </c>
      <c r="J8" s="17"/>
      <c r="K8" s="72" t="s">
        <v>87</v>
      </c>
      <c r="L8" s="92" t="s">
        <v>777</v>
      </c>
      <c r="M8" s="72">
        <v>1.0</v>
      </c>
      <c r="N8" s="188"/>
    </row>
    <row r="9">
      <c r="B9" s="41" t="s">
        <v>778</v>
      </c>
      <c r="C9" s="17"/>
      <c r="D9" s="72" t="s">
        <v>78</v>
      </c>
      <c r="E9" s="92" t="s">
        <v>779</v>
      </c>
      <c r="F9" s="72">
        <v>1.0</v>
      </c>
      <c r="G9" s="72"/>
      <c r="I9" s="41" t="s">
        <v>778</v>
      </c>
      <c r="J9" s="17"/>
      <c r="K9" s="72" t="s">
        <v>87</v>
      </c>
      <c r="L9" s="92" t="s">
        <v>780</v>
      </c>
      <c r="M9" s="72">
        <v>1.0</v>
      </c>
      <c r="N9" s="188"/>
    </row>
    <row r="10">
      <c r="B10" s="41" t="s">
        <v>781</v>
      </c>
      <c r="C10" s="17"/>
      <c r="D10" s="72" t="s">
        <v>78</v>
      </c>
      <c r="E10" s="92" t="s">
        <v>782</v>
      </c>
      <c r="F10" s="72">
        <v>1.0</v>
      </c>
      <c r="G10" s="72"/>
      <c r="I10" s="41" t="s">
        <v>781</v>
      </c>
      <c r="J10" s="17"/>
      <c r="K10" s="72" t="s">
        <v>87</v>
      </c>
      <c r="L10" s="92" t="s">
        <v>783</v>
      </c>
      <c r="M10" s="72">
        <v>1.0</v>
      </c>
      <c r="N10" s="188"/>
    </row>
    <row r="11">
      <c r="B11" s="191" t="s">
        <v>773</v>
      </c>
      <c r="C11" s="17"/>
      <c r="D11" s="72" t="s">
        <v>78</v>
      </c>
      <c r="E11" s="100" t="s">
        <v>78</v>
      </c>
      <c r="F11" s="72">
        <v>1.0</v>
      </c>
      <c r="G11" s="72"/>
      <c r="I11" s="41"/>
      <c r="J11" s="17"/>
      <c r="K11" s="72"/>
      <c r="L11" s="72"/>
      <c r="M11" s="72"/>
      <c r="N11" s="72"/>
    </row>
    <row r="12">
      <c r="B12" s="41" t="s">
        <v>784</v>
      </c>
      <c r="C12" s="17"/>
      <c r="D12" s="72" t="s">
        <v>785</v>
      </c>
      <c r="E12" s="72" t="s">
        <v>786</v>
      </c>
      <c r="F12" s="72">
        <v>1.0</v>
      </c>
      <c r="G12" s="72"/>
      <c r="I12" s="41" t="s">
        <v>784</v>
      </c>
      <c r="J12" s="17"/>
      <c r="K12" s="72" t="s">
        <v>87</v>
      </c>
      <c r="L12" s="192" t="s">
        <v>787</v>
      </c>
      <c r="M12" s="72">
        <v>1.0</v>
      </c>
      <c r="N12" s="188"/>
    </row>
    <row r="13">
      <c r="B13" s="41" t="s">
        <v>788</v>
      </c>
      <c r="C13" s="17"/>
      <c r="D13" s="72" t="s">
        <v>87</v>
      </c>
      <c r="E13" s="72" t="s">
        <v>300</v>
      </c>
      <c r="F13" s="72">
        <v>1.0</v>
      </c>
      <c r="G13" s="72"/>
      <c r="I13" s="41" t="s">
        <v>788</v>
      </c>
      <c r="J13" s="17"/>
      <c r="K13" s="72" t="s">
        <v>87</v>
      </c>
      <c r="L13" s="72" t="s">
        <v>300</v>
      </c>
      <c r="M13" s="72">
        <v>1.0</v>
      </c>
      <c r="N13" s="188"/>
    </row>
    <row r="14">
      <c r="B14" s="41" t="s">
        <v>789</v>
      </c>
      <c r="C14" s="17"/>
      <c r="D14" s="72" t="s">
        <v>197</v>
      </c>
      <c r="E14" s="72" t="s">
        <v>790</v>
      </c>
      <c r="F14" s="72">
        <v>1.0</v>
      </c>
      <c r="G14" s="72"/>
      <c r="I14" s="53" t="s">
        <v>789</v>
      </c>
      <c r="J14" s="17"/>
      <c r="K14" s="182" t="s">
        <v>87</v>
      </c>
      <c r="L14" s="182" t="s">
        <v>791</v>
      </c>
      <c r="M14" s="182">
        <v>1.0</v>
      </c>
      <c r="N14" s="188">
        <v>1.0</v>
      </c>
    </row>
    <row r="15">
      <c r="B15" s="41" t="s">
        <v>792</v>
      </c>
      <c r="C15" s="17"/>
      <c r="D15" s="72" t="s">
        <v>87</v>
      </c>
      <c r="E15" s="92">
        <v>2010.0</v>
      </c>
      <c r="F15" s="72">
        <v>1.0</v>
      </c>
      <c r="G15" s="72"/>
      <c r="I15" s="53" t="s">
        <v>792</v>
      </c>
      <c r="J15" s="17"/>
      <c r="K15" s="182" t="s">
        <v>87</v>
      </c>
      <c r="L15" s="193" t="s">
        <v>88</v>
      </c>
      <c r="M15" s="182">
        <v>1.0</v>
      </c>
      <c r="N15" s="188">
        <v>1.0</v>
      </c>
    </row>
    <row r="16">
      <c r="B16" s="41" t="s">
        <v>793</v>
      </c>
      <c r="C16" s="17"/>
      <c r="D16" s="72" t="s">
        <v>78</v>
      </c>
      <c r="E16" s="72" t="s">
        <v>78</v>
      </c>
      <c r="F16" s="72">
        <v>1.0</v>
      </c>
      <c r="G16" s="72"/>
      <c r="I16" s="41" t="s">
        <v>793</v>
      </c>
      <c r="J16" s="17"/>
      <c r="K16" s="72" t="s">
        <v>87</v>
      </c>
      <c r="L16" s="72" t="s">
        <v>794</v>
      </c>
      <c r="M16" s="72">
        <v>1.0</v>
      </c>
      <c r="N16" s="72"/>
    </row>
    <row r="17">
      <c r="B17" s="41" t="s">
        <v>795</v>
      </c>
      <c r="C17" s="17"/>
      <c r="D17" s="72" t="s">
        <v>338</v>
      </c>
      <c r="E17" s="72" t="s">
        <v>796</v>
      </c>
      <c r="F17" s="72">
        <v>1.0</v>
      </c>
      <c r="G17" s="72"/>
      <c r="I17" s="53" t="s">
        <v>797</v>
      </c>
      <c r="J17" s="17"/>
      <c r="K17" s="182" t="s">
        <v>78</v>
      </c>
      <c r="L17" s="182" t="s">
        <v>798</v>
      </c>
      <c r="M17" s="182">
        <v>1.0</v>
      </c>
      <c r="N17" s="194">
        <v>1.0</v>
      </c>
    </row>
    <row r="18">
      <c r="B18" s="41" t="s">
        <v>799</v>
      </c>
      <c r="C18" s="17"/>
      <c r="D18" s="72" t="s">
        <v>87</v>
      </c>
      <c r="E18" s="72" t="s">
        <v>78</v>
      </c>
      <c r="F18" s="72">
        <v>1.0</v>
      </c>
      <c r="G18" s="72"/>
      <c r="I18" s="53" t="s">
        <v>800</v>
      </c>
      <c r="J18" s="17"/>
      <c r="K18" s="72" t="s">
        <v>75</v>
      </c>
      <c r="L18" s="72" t="s">
        <v>288</v>
      </c>
      <c r="M18" s="72">
        <v>1.0</v>
      </c>
      <c r="N18" s="188">
        <v>1.0</v>
      </c>
    </row>
    <row r="19">
      <c r="B19" s="41" t="s">
        <v>801</v>
      </c>
      <c r="C19" s="17"/>
      <c r="D19" s="72" t="s">
        <v>338</v>
      </c>
      <c r="E19" s="72" t="s">
        <v>802</v>
      </c>
      <c r="F19" s="72">
        <v>1.0</v>
      </c>
      <c r="G19" s="72"/>
      <c r="I19" s="145" t="s">
        <v>803</v>
      </c>
      <c r="J19" s="17"/>
      <c r="K19" s="182" t="s">
        <v>87</v>
      </c>
      <c r="L19" s="195" t="s">
        <v>804</v>
      </c>
      <c r="M19" s="182">
        <v>1.0</v>
      </c>
      <c r="N19" s="188">
        <v>1.0</v>
      </c>
    </row>
    <row r="20">
      <c r="B20" s="41" t="s">
        <v>350</v>
      </c>
      <c r="C20" s="17"/>
      <c r="D20" s="72" t="s">
        <v>338</v>
      </c>
      <c r="E20" s="72" t="s">
        <v>805</v>
      </c>
      <c r="F20" s="72">
        <v>1.0</v>
      </c>
      <c r="G20" s="72"/>
      <c r="I20" s="73" t="s">
        <v>806</v>
      </c>
      <c r="J20" s="17"/>
      <c r="K20" s="72" t="s">
        <v>87</v>
      </c>
      <c r="L20" s="72" t="s">
        <v>681</v>
      </c>
      <c r="M20" s="72">
        <v>2.0</v>
      </c>
      <c r="N20" s="72"/>
    </row>
    <row r="21">
      <c r="B21" s="41" t="s">
        <v>807</v>
      </c>
      <c r="C21" s="17"/>
      <c r="D21" s="72" t="s">
        <v>598</v>
      </c>
      <c r="E21" s="72" t="s">
        <v>538</v>
      </c>
      <c r="F21" s="72">
        <v>2.0</v>
      </c>
      <c r="G21" s="72"/>
      <c r="I21" s="145" t="s">
        <v>808</v>
      </c>
      <c r="J21" s="17"/>
      <c r="K21" s="182" t="s">
        <v>285</v>
      </c>
      <c r="L21" s="182" t="s">
        <v>307</v>
      </c>
      <c r="M21" s="182">
        <v>1.0</v>
      </c>
      <c r="N21" s="188">
        <v>1.0</v>
      </c>
    </row>
    <row r="22">
      <c r="B22" s="41" t="s">
        <v>797</v>
      </c>
      <c r="C22" s="17"/>
      <c r="D22" s="72" t="s">
        <v>338</v>
      </c>
      <c r="E22" s="72" t="s">
        <v>809</v>
      </c>
      <c r="F22" s="72">
        <v>1.0</v>
      </c>
      <c r="G22" s="72"/>
      <c r="I22" s="145" t="s">
        <v>810</v>
      </c>
      <c r="J22" s="17"/>
      <c r="K22" s="182" t="s">
        <v>78</v>
      </c>
      <c r="L22" s="182" t="s">
        <v>78</v>
      </c>
      <c r="M22" s="182">
        <v>1.0</v>
      </c>
      <c r="N22" s="188">
        <v>1.0</v>
      </c>
    </row>
    <row r="23">
      <c r="B23" s="41" t="s">
        <v>811</v>
      </c>
      <c r="C23" s="17"/>
      <c r="D23" s="72" t="s">
        <v>78</v>
      </c>
      <c r="E23" s="72" t="s">
        <v>78</v>
      </c>
      <c r="F23" s="72">
        <v>1.0</v>
      </c>
      <c r="G23" s="72"/>
      <c r="I23" s="145" t="s">
        <v>812</v>
      </c>
      <c r="J23" s="17"/>
      <c r="K23" s="182" t="s">
        <v>87</v>
      </c>
      <c r="L23" s="182" t="s">
        <v>813</v>
      </c>
      <c r="M23" s="182">
        <v>1.0</v>
      </c>
      <c r="N23" s="188">
        <v>1.0</v>
      </c>
    </row>
    <row r="24">
      <c r="B24" s="41" t="s">
        <v>814</v>
      </c>
      <c r="C24" s="17"/>
      <c r="D24" s="72" t="s">
        <v>78</v>
      </c>
      <c r="E24" s="72" t="s">
        <v>815</v>
      </c>
      <c r="F24" s="72">
        <v>1.0</v>
      </c>
      <c r="G24" s="72"/>
      <c r="I24" s="53" t="s">
        <v>816</v>
      </c>
      <c r="J24" s="17"/>
      <c r="K24" s="182" t="s">
        <v>75</v>
      </c>
      <c r="L24" s="182" t="s">
        <v>817</v>
      </c>
      <c r="M24" s="182">
        <v>1.0</v>
      </c>
      <c r="N24" s="188">
        <v>1.0</v>
      </c>
    </row>
    <row r="25">
      <c r="B25" s="41" t="s">
        <v>800</v>
      </c>
      <c r="C25" s="17"/>
      <c r="D25" s="72" t="s">
        <v>87</v>
      </c>
      <c r="E25" s="72" t="s">
        <v>78</v>
      </c>
      <c r="F25" s="72">
        <v>1.0</v>
      </c>
      <c r="G25" s="72"/>
      <c r="I25" s="53" t="s">
        <v>818</v>
      </c>
      <c r="J25" s="17"/>
      <c r="K25" s="182" t="s">
        <v>75</v>
      </c>
      <c r="L25" s="182" t="s">
        <v>819</v>
      </c>
      <c r="M25" s="182">
        <v>1.0</v>
      </c>
      <c r="N25" s="188">
        <v>1.0</v>
      </c>
    </row>
    <row r="26">
      <c r="B26" s="73"/>
      <c r="C26" s="17"/>
      <c r="D26" s="72"/>
      <c r="E26" s="72"/>
      <c r="F26" s="72"/>
      <c r="G26" s="72"/>
      <c r="I26" s="53" t="s">
        <v>793</v>
      </c>
      <c r="J26" s="17"/>
      <c r="K26" s="182" t="s">
        <v>87</v>
      </c>
      <c r="L26" s="182" t="s">
        <v>820</v>
      </c>
      <c r="M26" s="182">
        <v>1.0</v>
      </c>
      <c r="N26" s="188">
        <v>1.0</v>
      </c>
    </row>
    <row r="27">
      <c r="B27" s="73"/>
      <c r="C27" s="17"/>
      <c r="D27" s="72"/>
      <c r="E27" s="72"/>
      <c r="F27" s="72"/>
      <c r="G27" s="72"/>
      <c r="I27" s="53" t="s">
        <v>821</v>
      </c>
      <c r="J27" s="17"/>
      <c r="K27" s="72" t="s">
        <v>87</v>
      </c>
      <c r="L27" s="72" t="s">
        <v>822</v>
      </c>
      <c r="M27" s="72">
        <v>1.0</v>
      </c>
      <c r="N27" s="188">
        <v>1.0</v>
      </c>
    </row>
    <row r="28" ht="15.75" customHeight="1">
      <c r="B28" s="73" t="s">
        <v>823</v>
      </c>
      <c r="C28" s="17"/>
      <c r="D28" s="72" t="s">
        <v>78</v>
      </c>
      <c r="E28" s="72" t="s">
        <v>78</v>
      </c>
      <c r="F28" s="72">
        <v>1.0</v>
      </c>
      <c r="G28" s="72"/>
      <c r="I28" s="73" t="s">
        <v>824</v>
      </c>
      <c r="J28" s="17"/>
      <c r="K28" s="72" t="s">
        <v>78</v>
      </c>
      <c r="L28" s="72" t="s">
        <v>78</v>
      </c>
      <c r="M28" s="72">
        <v>1.0</v>
      </c>
      <c r="N28" s="72"/>
    </row>
    <row r="29" ht="15.75" customHeight="1">
      <c r="B29" s="73" t="s">
        <v>799</v>
      </c>
      <c r="C29" s="17"/>
      <c r="D29" s="72" t="s">
        <v>78</v>
      </c>
      <c r="E29" s="148"/>
      <c r="F29" s="72">
        <v>1.0</v>
      </c>
      <c r="G29" s="185"/>
      <c r="I29" s="53" t="s">
        <v>825</v>
      </c>
      <c r="J29" s="17"/>
      <c r="K29" s="72" t="s">
        <v>75</v>
      </c>
      <c r="L29" s="72" t="s">
        <v>78</v>
      </c>
      <c r="M29" s="72">
        <v>3.0</v>
      </c>
      <c r="N29" s="188">
        <v>3.0</v>
      </c>
    </row>
    <row r="30" ht="15.75" customHeight="1">
      <c r="B30" s="73"/>
      <c r="C30" s="17"/>
      <c r="D30" s="72"/>
      <c r="E30" s="72" t="s">
        <v>38</v>
      </c>
      <c r="F30" s="72">
        <v>30.0</v>
      </c>
      <c r="G30" s="185"/>
      <c r="I30" s="41" t="s">
        <v>826</v>
      </c>
      <c r="J30" s="17"/>
      <c r="K30" s="72" t="s">
        <v>87</v>
      </c>
      <c r="L30" s="72" t="s">
        <v>827</v>
      </c>
      <c r="M30" s="72">
        <v>1.0</v>
      </c>
      <c r="N30" s="72"/>
    </row>
    <row r="31" ht="15.75" customHeight="1">
      <c r="I31" s="41" t="s">
        <v>828</v>
      </c>
      <c r="J31" s="17"/>
      <c r="K31" s="72" t="s">
        <v>87</v>
      </c>
      <c r="L31" s="72" t="s">
        <v>829</v>
      </c>
      <c r="M31" s="72">
        <v>1.0</v>
      </c>
      <c r="N31" s="72"/>
    </row>
    <row r="32" ht="15.75" customHeight="1">
      <c r="I32" s="52" t="s">
        <v>830</v>
      </c>
      <c r="J32" s="196"/>
      <c r="K32" s="197" t="s">
        <v>831</v>
      </c>
      <c r="L32" s="197" t="s">
        <v>473</v>
      </c>
      <c r="M32" s="197">
        <v>1.0</v>
      </c>
      <c r="N32" s="198">
        <v>1.0</v>
      </c>
    </row>
    <row r="33" ht="15.75" customHeight="1">
      <c r="I33" s="113" t="s">
        <v>38</v>
      </c>
      <c r="J33" s="17"/>
      <c r="K33" s="163">
        <f>SUM(M5:M32)</f>
        <v>37</v>
      </c>
      <c r="L33" s="16"/>
      <c r="M33" s="16"/>
      <c r="N33" s="17"/>
      <c r="O33" s="199">
        <f>SUM(N5:N32)</f>
        <v>18</v>
      </c>
    </row>
    <row r="34" ht="15.75" customHeight="1">
      <c r="B34" s="18" t="s">
        <v>58</v>
      </c>
      <c r="C34" s="16"/>
      <c r="D34" s="16"/>
      <c r="E34" s="16"/>
      <c r="F34" s="16"/>
      <c r="G34" s="17"/>
    </row>
    <row r="35" ht="15.75" customHeight="1">
      <c r="B35" s="18" t="s">
        <v>14</v>
      </c>
      <c r="C35" s="16"/>
      <c r="D35" s="16"/>
      <c r="E35" s="16"/>
      <c r="F35" s="16"/>
      <c r="G35" s="17"/>
    </row>
    <row r="36" ht="15.75" customHeight="1">
      <c r="B36" s="18" t="s">
        <v>60</v>
      </c>
      <c r="C36" s="17"/>
      <c r="D36" s="19" t="s">
        <v>16</v>
      </c>
      <c r="E36" s="19" t="s">
        <v>17</v>
      </c>
      <c r="F36" s="19" t="s">
        <v>18</v>
      </c>
      <c r="G36" s="19" t="s">
        <v>19</v>
      </c>
      <c r="I36" s="28" t="s">
        <v>58</v>
      </c>
      <c r="J36" s="16"/>
      <c r="K36" s="16"/>
      <c r="L36" s="16"/>
      <c r="M36" s="16"/>
      <c r="N36" s="17"/>
    </row>
    <row r="37" ht="15.75" customHeight="1">
      <c r="B37" s="18" t="s">
        <v>832</v>
      </c>
      <c r="C37" s="17"/>
      <c r="D37" s="18" t="s">
        <v>833</v>
      </c>
      <c r="E37" s="16"/>
      <c r="F37" s="16"/>
      <c r="G37" s="17"/>
      <c r="I37" s="28" t="s">
        <v>14</v>
      </c>
      <c r="J37" s="16"/>
      <c r="K37" s="16"/>
      <c r="L37" s="16"/>
      <c r="M37" s="16"/>
      <c r="N37" s="17"/>
    </row>
    <row r="38" ht="15.75" customHeight="1">
      <c r="B38" s="39" t="s">
        <v>834</v>
      </c>
      <c r="C38" s="17"/>
      <c r="D38" s="4" t="s">
        <v>87</v>
      </c>
      <c r="E38" s="4" t="s">
        <v>835</v>
      </c>
      <c r="F38" s="4">
        <v>1.0</v>
      </c>
      <c r="G38" s="4"/>
      <c r="I38" s="28" t="s">
        <v>60</v>
      </c>
      <c r="J38" s="17"/>
      <c r="K38" s="30" t="s">
        <v>16</v>
      </c>
      <c r="L38" s="30" t="s">
        <v>17</v>
      </c>
      <c r="M38" s="30" t="s">
        <v>18</v>
      </c>
      <c r="N38" s="30" t="s">
        <v>19</v>
      </c>
    </row>
    <row r="39" ht="15.75" customHeight="1">
      <c r="B39" s="39" t="s">
        <v>836</v>
      </c>
      <c r="C39" s="17"/>
      <c r="D39" s="4" t="s">
        <v>87</v>
      </c>
      <c r="E39" s="4" t="s">
        <v>837</v>
      </c>
      <c r="F39" s="4">
        <v>1.0</v>
      </c>
      <c r="G39" s="4"/>
      <c r="I39" s="20" t="s">
        <v>838</v>
      </c>
      <c r="J39" s="17"/>
      <c r="K39" s="200" t="s">
        <v>839</v>
      </c>
      <c r="L39" s="16"/>
      <c r="M39" s="16"/>
      <c r="N39" s="17"/>
    </row>
    <row r="40" ht="15.75" customHeight="1">
      <c r="B40" s="39" t="s">
        <v>840</v>
      </c>
      <c r="C40" s="17"/>
      <c r="D40" s="4" t="s">
        <v>87</v>
      </c>
      <c r="E40" s="46" t="s">
        <v>822</v>
      </c>
      <c r="F40" s="4">
        <v>1.0</v>
      </c>
      <c r="G40" s="4"/>
      <c r="I40" s="25" t="s">
        <v>841</v>
      </c>
      <c r="J40" s="17"/>
      <c r="K40" s="4" t="s">
        <v>842</v>
      </c>
      <c r="L40" s="4" t="s">
        <v>843</v>
      </c>
      <c r="M40" s="4">
        <v>1.0</v>
      </c>
      <c r="N40" s="4"/>
    </row>
    <row r="41" ht="15.75" customHeight="1">
      <c r="B41" s="39" t="s">
        <v>844</v>
      </c>
      <c r="C41" s="17"/>
      <c r="D41" s="4" t="s">
        <v>845</v>
      </c>
      <c r="E41" s="46" t="s">
        <v>78</v>
      </c>
      <c r="F41" s="4">
        <v>2.0</v>
      </c>
      <c r="G41" s="4"/>
      <c r="I41" s="25" t="s">
        <v>846</v>
      </c>
      <c r="J41" s="17"/>
      <c r="K41" s="4" t="s">
        <v>847</v>
      </c>
      <c r="L41" s="4" t="s">
        <v>848</v>
      </c>
      <c r="M41" s="4">
        <v>1.0</v>
      </c>
      <c r="N41" s="4"/>
    </row>
    <row r="42" ht="15.75" customHeight="1">
      <c r="B42" s="39" t="s">
        <v>849</v>
      </c>
      <c r="C42" s="17"/>
      <c r="D42" s="4" t="s">
        <v>845</v>
      </c>
      <c r="E42" s="46" t="s">
        <v>78</v>
      </c>
      <c r="F42" s="4">
        <v>1.0</v>
      </c>
      <c r="G42" s="4"/>
      <c r="I42" s="25" t="s">
        <v>850</v>
      </c>
      <c r="J42" s="17"/>
      <c r="K42" s="4" t="s">
        <v>851</v>
      </c>
      <c r="L42" s="4" t="s">
        <v>842</v>
      </c>
      <c r="M42" s="4">
        <v>1.0</v>
      </c>
      <c r="N42" s="4"/>
    </row>
    <row r="43" ht="15.75" customHeight="1">
      <c r="B43" s="32" t="s">
        <v>38</v>
      </c>
      <c r="C43" s="17"/>
      <c r="D43" s="4"/>
      <c r="E43" s="46"/>
      <c r="F43" s="4">
        <f>SUM(F38:F42)</f>
        <v>6</v>
      </c>
      <c r="G43" s="4"/>
      <c r="I43" s="25" t="s">
        <v>517</v>
      </c>
      <c r="J43" s="17"/>
      <c r="K43" s="4" t="s">
        <v>847</v>
      </c>
      <c r="L43" s="4" t="s">
        <v>852</v>
      </c>
      <c r="M43" s="4">
        <v>1.0</v>
      </c>
      <c r="N43" s="4"/>
    </row>
    <row r="44" ht="15.75" customHeight="1">
      <c r="I44" s="25" t="s">
        <v>853</v>
      </c>
      <c r="J44" s="17"/>
      <c r="K44" s="4" t="s">
        <v>854</v>
      </c>
      <c r="L44" s="4" t="s">
        <v>855</v>
      </c>
      <c r="M44" s="4">
        <v>2.0</v>
      </c>
      <c r="N44" s="4"/>
    </row>
    <row r="45" ht="15.75" customHeight="1">
      <c r="I45" s="25" t="s">
        <v>91</v>
      </c>
      <c r="J45" s="17"/>
      <c r="K45" s="4" t="s">
        <v>847</v>
      </c>
      <c r="L45" s="4" t="s">
        <v>856</v>
      </c>
      <c r="M45" s="4">
        <v>1.0</v>
      </c>
      <c r="N45" s="4"/>
    </row>
    <row r="46" ht="15.75" customHeight="1">
      <c r="I46" s="25" t="s">
        <v>857</v>
      </c>
      <c r="J46" s="17"/>
      <c r="K46" s="4" t="s">
        <v>858</v>
      </c>
      <c r="L46" s="4" t="s">
        <v>859</v>
      </c>
      <c r="M46" s="4">
        <v>1.0</v>
      </c>
      <c r="N46" s="4"/>
    </row>
    <row r="47" ht="15.75" customHeight="1">
      <c r="I47" s="25" t="s">
        <v>860</v>
      </c>
      <c r="J47" s="17"/>
      <c r="K47" s="4" t="s">
        <v>87</v>
      </c>
      <c r="L47" s="4" t="s">
        <v>861</v>
      </c>
      <c r="M47" s="4">
        <v>1.0</v>
      </c>
      <c r="N47" s="4"/>
    </row>
    <row r="48" ht="15.75" customHeight="1">
      <c r="I48" s="25" t="s">
        <v>173</v>
      </c>
      <c r="J48" s="17"/>
      <c r="K48" s="4" t="s">
        <v>847</v>
      </c>
      <c r="L48" s="46" t="s">
        <v>862</v>
      </c>
      <c r="M48" s="4">
        <v>1.0</v>
      </c>
      <c r="N48" s="4"/>
    </row>
    <row r="49" ht="15.75" customHeight="1">
      <c r="I49" s="25" t="s">
        <v>199</v>
      </c>
      <c r="J49" s="17"/>
      <c r="K49" s="4" t="s">
        <v>863</v>
      </c>
      <c r="L49" s="4" t="s">
        <v>864</v>
      </c>
      <c r="M49" s="4">
        <v>1.0</v>
      </c>
      <c r="N49" s="4"/>
    </row>
    <row r="50" ht="15.75" customHeight="1">
      <c r="I50" s="25" t="s">
        <v>865</v>
      </c>
      <c r="J50" s="17"/>
      <c r="K50" s="4" t="s">
        <v>866</v>
      </c>
      <c r="L50" s="4" t="s">
        <v>866</v>
      </c>
      <c r="M50" s="4">
        <v>1.0</v>
      </c>
      <c r="N50" s="4"/>
    </row>
    <row r="51" ht="15.75" customHeight="1">
      <c r="I51" s="25" t="s">
        <v>867</v>
      </c>
      <c r="J51" s="17"/>
      <c r="K51" s="4" t="s">
        <v>868</v>
      </c>
      <c r="L51" s="4" t="s">
        <v>866</v>
      </c>
      <c r="M51" s="4">
        <v>2.0</v>
      </c>
      <c r="N51" s="4"/>
    </row>
    <row r="52" ht="15.75" customHeight="1">
      <c r="I52" s="25" t="s">
        <v>38</v>
      </c>
      <c r="J52" s="17"/>
      <c r="K52" s="4"/>
      <c r="L52" s="4"/>
      <c r="M52" s="4">
        <f>SUM(M40:M51)</f>
        <v>14</v>
      </c>
      <c r="N52" s="4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94">
    <mergeCell ref="B18:C18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43:C43"/>
    <mergeCell ref="B25:C25"/>
    <mergeCell ref="B26:C26"/>
    <mergeCell ref="B27:C27"/>
    <mergeCell ref="B28:C28"/>
    <mergeCell ref="B29:C29"/>
    <mergeCell ref="B30:C30"/>
    <mergeCell ref="B36:C36"/>
    <mergeCell ref="I31:J31"/>
    <mergeCell ref="I33:J33"/>
    <mergeCell ref="K33:N33"/>
    <mergeCell ref="B34:G34"/>
    <mergeCell ref="B35:G35"/>
    <mergeCell ref="I36:N36"/>
    <mergeCell ref="D37:G37"/>
    <mergeCell ref="I37:N37"/>
    <mergeCell ref="I38:J38"/>
    <mergeCell ref="I39:J39"/>
    <mergeCell ref="K39:N39"/>
    <mergeCell ref="I40:J40"/>
    <mergeCell ref="I41:J41"/>
    <mergeCell ref="I42:J42"/>
    <mergeCell ref="I50:J50"/>
    <mergeCell ref="I51:J51"/>
    <mergeCell ref="I52:J52"/>
    <mergeCell ref="I43:J43"/>
    <mergeCell ref="I44:J44"/>
    <mergeCell ref="I45:J45"/>
    <mergeCell ref="I46:J46"/>
    <mergeCell ref="I47:J47"/>
    <mergeCell ref="I48:J48"/>
    <mergeCell ref="I49:J49"/>
    <mergeCell ref="B1:G1"/>
    <mergeCell ref="I1:N1"/>
    <mergeCell ref="B2:G2"/>
    <mergeCell ref="I2:N2"/>
    <mergeCell ref="B3:C3"/>
    <mergeCell ref="D4:G4"/>
    <mergeCell ref="K4:N4"/>
    <mergeCell ref="I3:J3"/>
    <mergeCell ref="I4:J4"/>
    <mergeCell ref="I5:J5"/>
    <mergeCell ref="I6:J6"/>
    <mergeCell ref="I7:J7"/>
    <mergeCell ref="I8:J8"/>
    <mergeCell ref="I9:J9"/>
    <mergeCell ref="B4:C4"/>
    <mergeCell ref="B5:C5"/>
    <mergeCell ref="B6:C6"/>
    <mergeCell ref="B7:C7"/>
    <mergeCell ref="B8:C8"/>
    <mergeCell ref="B9:C9"/>
    <mergeCell ref="B10:C10"/>
    <mergeCell ref="I10:J10"/>
    <mergeCell ref="I11:J11"/>
    <mergeCell ref="I12:J12"/>
    <mergeCell ref="I13:J13"/>
    <mergeCell ref="I14:J14"/>
    <mergeCell ref="I15:J15"/>
    <mergeCell ref="I16:J16"/>
    <mergeCell ref="B11:C11"/>
    <mergeCell ref="B12:C12"/>
    <mergeCell ref="B13:C13"/>
    <mergeCell ref="B14:C14"/>
    <mergeCell ref="B15:C15"/>
    <mergeCell ref="B16:C16"/>
    <mergeCell ref="B17:C17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3.0"/>
    <col customWidth="1" min="3" max="3" width="25.14"/>
    <col customWidth="1" min="4" max="4" width="14.14"/>
    <col customWidth="1" min="5" max="5" width="16.86"/>
    <col customWidth="1" min="7" max="7" width="22.57"/>
    <col customWidth="1" min="8" max="8" width="23.86"/>
    <col customWidth="1" min="9" max="9" width="9.29"/>
    <col customWidth="1" min="10" max="10" width="27.86"/>
    <col customWidth="1" min="11" max="11" width="2.0"/>
    <col customWidth="1" min="12" max="12" width="22.71"/>
    <col customWidth="1" min="13" max="13" width="20.57"/>
    <col customWidth="1" min="14" max="14" width="11.57"/>
    <col customWidth="1" min="15" max="15" width="26.86"/>
  </cols>
  <sheetData>
    <row r="1">
      <c r="C1" s="18" t="s">
        <v>58</v>
      </c>
      <c r="D1" s="16"/>
      <c r="E1" s="16"/>
      <c r="F1" s="16"/>
      <c r="G1" s="16"/>
      <c r="H1" s="17"/>
    </row>
    <row r="2">
      <c r="C2" s="18" t="s">
        <v>14</v>
      </c>
      <c r="D2" s="16"/>
      <c r="E2" s="16"/>
      <c r="F2" s="16"/>
      <c r="G2" s="16"/>
      <c r="H2" s="17"/>
      <c r="J2" s="28" t="s">
        <v>58</v>
      </c>
      <c r="K2" s="16"/>
      <c r="L2" s="16"/>
      <c r="M2" s="16"/>
      <c r="N2" s="16"/>
      <c r="O2" s="17"/>
    </row>
    <row r="3">
      <c r="C3" s="18" t="s">
        <v>60</v>
      </c>
      <c r="D3" s="17"/>
      <c r="E3" s="19" t="s">
        <v>16</v>
      </c>
      <c r="F3" s="19" t="s">
        <v>17</v>
      </c>
      <c r="G3" s="19" t="s">
        <v>18</v>
      </c>
      <c r="H3" s="19" t="s">
        <v>19</v>
      </c>
      <c r="J3" s="28" t="s">
        <v>14</v>
      </c>
      <c r="K3" s="16"/>
      <c r="L3" s="16"/>
      <c r="M3" s="16"/>
      <c r="N3" s="16"/>
      <c r="O3" s="17"/>
    </row>
    <row r="4" ht="32.25" customHeight="1">
      <c r="C4" s="201" t="s">
        <v>869</v>
      </c>
      <c r="D4" s="17"/>
      <c r="E4" s="18" t="s">
        <v>870</v>
      </c>
      <c r="F4" s="16"/>
      <c r="G4" s="16"/>
      <c r="H4" s="17"/>
      <c r="J4" s="28" t="s">
        <v>60</v>
      </c>
      <c r="K4" s="17"/>
      <c r="L4" s="30" t="s">
        <v>16</v>
      </c>
      <c r="M4" s="30" t="s">
        <v>17</v>
      </c>
      <c r="N4" s="30" t="s">
        <v>18</v>
      </c>
      <c r="O4" s="30" t="s">
        <v>19</v>
      </c>
    </row>
    <row r="5" ht="30.75" customHeight="1">
      <c r="A5" s="24" t="s">
        <v>871</v>
      </c>
      <c r="C5" s="41" t="s">
        <v>872</v>
      </c>
      <c r="D5" s="17"/>
      <c r="E5" s="72"/>
      <c r="F5" s="72"/>
      <c r="G5" s="72">
        <v>0.0</v>
      </c>
      <c r="H5" s="72" t="s">
        <v>873</v>
      </c>
      <c r="J5" s="202" t="s">
        <v>874</v>
      </c>
      <c r="K5" s="17"/>
      <c r="L5" s="203" t="s">
        <v>875</v>
      </c>
      <c r="M5" s="16"/>
      <c r="N5" s="16"/>
      <c r="O5" s="17"/>
    </row>
    <row r="6">
      <c r="A6" s="24" t="s">
        <v>876</v>
      </c>
      <c r="C6" s="41" t="s">
        <v>877</v>
      </c>
      <c r="D6" s="17"/>
      <c r="E6" s="72" t="s">
        <v>87</v>
      </c>
      <c r="F6" s="72" t="s">
        <v>152</v>
      </c>
      <c r="G6" s="72"/>
      <c r="H6" s="72" t="s">
        <v>212</v>
      </c>
      <c r="J6" s="74"/>
      <c r="K6" s="74"/>
      <c r="L6" s="204"/>
      <c r="M6" s="204"/>
      <c r="N6" s="204"/>
      <c r="O6" s="204"/>
    </row>
    <row r="7">
      <c r="A7" s="24" t="s">
        <v>878</v>
      </c>
      <c r="C7" s="41" t="s">
        <v>879</v>
      </c>
      <c r="D7" s="17"/>
      <c r="E7" s="72" t="s">
        <v>87</v>
      </c>
      <c r="F7" s="92" t="s">
        <v>880</v>
      </c>
      <c r="G7" s="72"/>
      <c r="H7" s="72" t="s">
        <v>212</v>
      </c>
      <c r="J7" s="73" t="s">
        <v>412</v>
      </c>
      <c r="K7" s="17"/>
      <c r="L7" s="72" t="s">
        <v>78</v>
      </c>
      <c r="M7" s="72" t="s">
        <v>78</v>
      </c>
      <c r="N7" s="72">
        <v>1.0</v>
      </c>
      <c r="O7" s="72"/>
    </row>
    <row r="8">
      <c r="A8" s="24" t="s">
        <v>881</v>
      </c>
      <c r="C8" s="41" t="s">
        <v>882</v>
      </c>
      <c r="D8" s="17"/>
      <c r="E8" s="72" t="s">
        <v>78</v>
      </c>
      <c r="F8" s="72" t="s">
        <v>78</v>
      </c>
      <c r="G8" s="72"/>
      <c r="H8" s="72" t="s">
        <v>212</v>
      </c>
      <c r="J8" s="73" t="s">
        <v>883</v>
      </c>
      <c r="K8" s="17"/>
      <c r="L8" s="72" t="s">
        <v>78</v>
      </c>
      <c r="M8" s="72" t="s">
        <v>78</v>
      </c>
      <c r="N8" s="72">
        <v>1.0</v>
      </c>
      <c r="O8" s="72"/>
    </row>
    <row r="9">
      <c r="A9" s="24" t="s">
        <v>884</v>
      </c>
      <c r="C9" s="41" t="s">
        <v>885</v>
      </c>
      <c r="D9" s="17"/>
      <c r="E9" s="72" t="s">
        <v>78</v>
      </c>
      <c r="F9" s="72" t="s">
        <v>78</v>
      </c>
      <c r="G9" s="72">
        <v>1.0</v>
      </c>
      <c r="H9" s="72"/>
      <c r="J9" s="73" t="s">
        <v>886</v>
      </c>
      <c r="K9" s="17"/>
      <c r="L9" s="72" t="s">
        <v>78</v>
      </c>
      <c r="M9" s="72" t="s">
        <v>78</v>
      </c>
      <c r="N9" s="72">
        <v>1.0</v>
      </c>
      <c r="O9" s="72"/>
    </row>
    <row r="10">
      <c r="A10" s="24" t="s">
        <v>887</v>
      </c>
      <c r="C10" s="41" t="s">
        <v>784</v>
      </c>
      <c r="D10" s="17"/>
      <c r="E10" s="72" t="s">
        <v>87</v>
      </c>
      <c r="F10" s="92" t="s">
        <v>888</v>
      </c>
      <c r="G10" s="72">
        <v>2.0</v>
      </c>
      <c r="H10" s="72"/>
      <c r="J10" s="73" t="s">
        <v>889</v>
      </c>
      <c r="K10" s="17"/>
      <c r="L10" s="72" t="s">
        <v>78</v>
      </c>
      <c r="M10" s="72" t="s">
        <v>78</v>
      </c>
      <c r="N10" s="72">
        <v>1.0</v>
      </c>
      <c r="O10" s="72"/>
    </row>
    <row r="11">
      <c r="A11" s="24" t="s">
        <v>793</v>
      </c>
      <c r="C11" s="41" t="s">
        <v>890</v>
      </c>
      <c r="D11" s="17"/>
      <c r="E11" s="72" t="s">
        <v>87</v>
      </c>
      <c r="F11" s="100" t="s">
        <v>891</v>
      </c>
      <c r="G11" s="72">
        <v>0.0</v>
      </c>
      <c r="H11" s="72" t="s">
        <v>892</v>
      </c>
      <c r="J11" s="72" t="s">
        <v>287</v>
      </c>
      <c r="K11" s="72"/>
      <c r="L11" s="72" t="s">
        <v>847</v>
      </c>
      <c r="M11" s="72" t="s">
        <v>893</v>
      </c>
      <c r="N11" s="72">
        <v>1.0</v>
      </c>
      <c r="O11" s="72"/>
    </row>
    <row r="12">
      <c r="A12" s="24" t="s">
        <v>894</v>
      </c>
      <c r="C12" s="41" t="s">
        <v>890</v>
      </c>
      <c r="D12" s="17"/>
      <c r="E12" s="72" t="s">
        <v>87</v>
      </c>
      <c r="F12" s="72" t="s">
        <v>895</v>
      </c>
      <c r="G12" s="72">
        <v>2.0</v>
      </c>
      <c r="H12" s="72"/>
      <c r="J12" s="73" t="s">
        <v>896</v>
      </c>
      <c r="K12" s="17"/>
      <c r="L12" s="72" t="s">
        <v>897</v>
      </c>
      <c r="M12" s="72">
        <v>14106.0</v>
      </c>
      <c r="N12" s="72">
        <v>1.0</v>
      </c>
      <c r="O12" s="72"/>
    </row>
    <row r="13">
      <c r="A13" s="24" t="s">
        <v>898</v>
      </c>
      <c r="C13" s="41" t="s">
        <v>800</v>
      </c>
      <c r="D13" s="17"/>
      <c r="E13" s="72" t="s">
        <v>87</v>
      </c>
      <c r="F13" s="72" t="s">
        <v>899</v>
      </c>
      <c r="G13" s="72">
        <v>1.0</v>
      </c>
      <c r="H13" s="72"/>
      <c r="J13" s="73" t="s">
        <v>77</v>
      </c>
      <c r="K13" s="17"/>
      <c r="L13" s="72" t="s">
        <v>75</v>
      </c>
      <c r="M13" s="72" t="s">
        <v>900</v>
      </c>
      <c r="N13" s="72">
        <v>1.0</v>
      </c>
      <c r="O13" s="72"/>
    </row>
    <row r="14">
      <c r="A14" s="24" t="s">
        <v>901</v>
      </c>
      <c r="C14" s="41" t="s">
        <v>800</v>
      </c>
      <c r="D14" s="17"/>
      <c r="E14" s="72" t="s">
        <v>155</v>
      </c>
      <c r="F14" s="72" t="s">
        <v>902</v>
      </c>
      <c r="G14" s="72">
        <v>1.0</v>
      </c>
      <c r="H14" s="72"/>
      <c r="J14" s="73" t="s">
        <v>90</v>
      </c>
      <c r="K14" s="17"/>
      <c r="L14" s="72" t="s">
        <v>868</v>
      </c>
      <c r="M14" s="72" t="s">
        <v>903</v>
      </c>
      <c r="N14" s="72">
        <v>1.0</v>
      </c>
      <c r="O14" s="72"/>
    </row>
    <row r="15">
      <c r="A15" s="24" t="s">
        <v>774</v>
      </c>
      <c r="C15" s="41" t="s">
        <v>773</v>
      </c>
      <c r="D15" s="17"/>
      <c r="E15" s="72" t="s">
        <v>87</v>
      </c>
      <c r="F15" s="92" t="s">
        <v>904</v>
      </c>
      <c r="G15" s="72">
        <v>1.0</v>
      </c>
      <c r="H15" s="72"/>
      <c r="J15" s="73" t="s">
        <v>425</v>
      </c>
      <c r="K15" s="17"/>
      <c r="L15" s="72" t="s">
        <v>78</v>
      </c>
      <c r="M15" s="72" t="s">
        <v>78</v>
      </c>
      <c r="N15" s="72">
        <v>1.0</v>
      </c>
      <c r="O15" s="72"/>
    </row>
    <row r="16">
      <c r="C16" s="42" t="s">
        <v>425</v>
      </c>
      <c r="D16" s="42"/>
      <c r="E16" s="72" t="s">
        <v>87</v>
      </c>
      <c r="F16" s="72" t="s">
        <v>905</v>
      </c>
      <c r="G16" s="72">
        <v>2.0</v>
      </c>
      <c r="H16" s="72"/>
      <c r="J16" s="72" t="s">
        <v>308</v>
      </c>
      <c r="K16" s="72"/>
      <c r="L16" s="72" t="s">
        <v>847</v>
      </c>
      <c r="M16" s="72" t="s">
        <v>906</v>
      </c>
      <c r="N16" s="72">
        <v>1.0</v>
      </c>
      <c r="O16" s="72"/>
    </row>
    <row r="17">
      <c r="C17" s="42" t="s">
        <v>425</v>
      </c>
      <c r="D17" s="42"/>
      <c r="E17" s="72" t="s">
        <v>289</v>
      </c>
      <c r="F17" s="72" t="s">
        <v>78</v>
      </c>
      <c r="G17" s="72">
        <v>1.0</v>
      </c>
      <c r="H17" s="72"/>
      <c r="J17" s="72" t="s">
        <v>206</v>
      </c>
      <c r="K17" s="72"/>
      <c r="L17" s="72" t="s">
        <v>87</v>
      </c>
      <c r="M17" s="72" t="s">
        <v>907</v>
      </c>
      <c r="N17" s="72">
        <v>1.0</v>
      </c>
      <c r="O17" s="72"/>
    </row>
    <row r="18">
      <c r="C18" s="41" t="s">
        <v>773</v>
      </c>
      <c r="D18" s="17"/>
      <c r="E18" s="72" t="s">
        <v>908</v>
      </c>
      <c r="F18" s="72" t="s">
        <v>909</v>
      </c>
      <c r="G18" s="72">
        <v>1.0</v>
      </c>
      <c r="H18" s="72"/>
      <c r="J18" s="73" t="s">
        <v>98</v>
      </c>
      <c r="K18" s="17"/>
      <c r="L18" s="72" t="s">
        <v>289</v>
      </c>
      <c r="M18" s="72" t="s">
        <v>910</v>
      </c>
      <c r="N18" s="72">
        <v>1.0</v>
      </c>
      <c r="O18" s="72"/>
    </row>
    <row r="19">
      <c r="C19" s="41" t="s">
        <v>911</v>
      </c>
      <c r="D19" s="17"/>
      <c r="E19" s="72" t="s">
        <v>87</v>
      </c>
      <c r="F19" s="72" t="s">
        <v>912</v>
      </c>
      <c r="G19" s="72">
        <v>1.0</v>
      </c>
      <c r="H19" s="72"/>
      <c r="J19" s="116" t="s">
        <v>38</v>
      </c>
      <c r="K19" s="17"/>
      <c r="L19" s="72"/>
      <c r="M19" s="72"/>
      <c r="N19" s="72">
        <f>SUM(N7:N18)</f>
        <v>12</v>
      </c>
      <c r="O19" s="72"/>
    </row>
    <row r="20">
      <c r="C20" s="41" t="s">
        <v>792</v>
      </c>
      <c r="D20" s="17"/>
      <c r="E20" s="72" t="s">
        <v>87</v>
      </c>
      <c r="F20" s="72" t="s">
        <v>88</v>
      </c>
      <c r="G20" s="72">
        <v>1.0</v>
      </c>
      <c r="H20" s="72" t="s">
        <v>212</v>
      </c>
      <c r="J20" s="148"/>
      <c r="K20" s="148"/>
      <c r="L20" s="148"/>
      <c r="M20" s="148"/>
      <c r="N20" s="148"/>
      <c r="O20" s="148"/>
    </row>
    <row r="21">
      <c r="C21" s="41" t="s">
        <v>913</v>
      </c>
      <c r="D21" s="17"/>
      <c r="E21" s="72" t="s">
        <v>87</v>
      </c>
      <c r="F21" s="72" t="s">
        <v>914</v>
      </c>
      <c r="G21" s="72"/>
      <c r="H21" s="72" t="s">
        <v>212</v>
      </c>
    </row>
    <row r="22">
      <c r="C22" s="41" t="s">
        <v>915</v>
      </c>
      <c r="D22" s="17"/>
      <c r="E22" s="72" t="s">
        <v>916</v>
      </c>
      <c r="F22" s="92">
        <v>413.0</v>
      </c>
      <c r="G22" s="72">
        <v>0.0</v>
      </c>
      <c r="H22" s="72" t="s">
        <v>917</v>
      </c>
    </row>
    <row r="23">
      <c r="C23" s="41" t="s">
        <v>915</v>
      </c>
      <c r="D23" s="17"/>
      <c r="E23" s="72" t="s">
        <v>168</v>
      </c>
      <c r="F23" s="72" t="s">
        <v>78</v>
      </c>
      <c r="G23" s="72"/>
      <c r="H23" s="72" t="s">
        <v>212</v>
      </c>
      <c r="J23" s="205" t="s">
        <v>58</v>
      </c>
      <c r="K23" s="16"/>
      <c r="L23" s="16"/>
      <c r="M23" s="16"/>
      <c r="N23" s="16"/>
      <c r="O23" s="17"/>
    </row>
    <row r="24">
      <c r="C24" s="41" t="s">
        <v>283</v>
      </c>
      <c r="D24" s="17"/>
      <c r="E24" s="72" t="s">
        <v>87</v>
      </c>
      <c r="F24" s="72" t="s">
        <v>292</v>
      </c>
      <c r="G24" s="72"/>
      <c r="H24" s="72" t="s">
        <v>918</v>
      </c>
      <c r="J24" s="205" t="s">
        <v>14</v>
      </c>
      <c r="K24" s="16"/>
      <c r="L24" s="16"/>
      <c r="M24" s="16"/>
      <c r="N24" s="16"/>
      <c r="O24" s="17"/>
    </row>
    <row r="25">
      <c r="C25" s="41" t="s">
        <v>283</v>
      </c>
      <c r="D25" s="17"/>
      <c r="E25" s="72" t="s">
        <v>289</v>
      </c>
      <c r="F25" s="72" t="s">
        <v>919</v>
      </c>
      <c r="G25" s="72"/>
      <c r="H25" s="72" t="s">
        <v>212</v>
      </c>
      <c r="J25" s="205" t="s">
        <v>60</v>
      </c>
      <c r="K25" s="17"/>
      <c r="L25" s="206" t="s">
        <v>16</v>
      </c>
      <c r="M25" s="206" t="s">
        <v>17</v>
      </c>
      <c r="N25" s="206" t="s">
        <v>18</v>
      </c>
      <c r="O25" s="206" t="s">
        <v>19</v>
      </c>
    </row>
    <row r="26" ht="24.75" customHeight="1">
      <c r="C26" s="41" t="s">
        <v>283</v>
      </c>
      <c r="D26" s="17"/>
      <c r="E26" s="72" t="s">
        <v>289</v>
      </c>
      <c r="F26" s="72" t="s">
        <v>920</v>
      </c>
      <c r="G26" s="72"/>
      <c r="H26" s="72" t="s">
        <v>212</v>
      </c>
      <c r="J26" s="207" t="s">
        <v>874</v>
      </c>
      <c r="K26" s="17"/>
      <c r="L26" s="208" t="s">
        <v>921</v>
      </c>
      <c r="M26" s="16"/>
      <c r="N26" s="16"/>
      <c r="O26" s="17"/>
    </row>
    <row r="27">
      <c r="C27" s="41" t="s">
        <v>283</v>
      </c>
      <c r="D27" s="17"/>
      <c r="E27" s="72" t="s">
        <v>868</v>
      </c>
      <c r="F27" s="72" t="s">
        <v>922</v>
      </c>
      <c r="G27" s="72"/>
      <c r="H27" s="72" t="s">
        <v>212</v>
      </c>
      <c r="J27" s="209"/>
      <c r="K27" s="209"/>
      <c r="L27" s="210"/>
      <c r="M27" s="210"/>
      <c r="N27" s="210"/>
      <c r="O27" s="210"/>
    </row>
    <row r="28">
      <c r="C28" s="41" t="s">
        <v>923</v>
      </c>
      <c r="D28" s="17"/>
      <c r="E28" s="72" t="s">
        <v>868</v>
      </c>
      <c r="F28" s="72" t="s">
        <v>924</v>
      </c>
      <c r="G28" s="72">
        <v>1.0</v>
      </c>
      <c r="H28" s="72"/>
      <c r="J28" s="211" t="s">
        <v>841</v>
      </c>
      <c r="K28" s="17"/>
      <c r="L28" s="212" t="s">
        <v>338</v>
      </c>
      <c r="M28" s="212" t="s">
        <v>925</v>
      </c>
      <c r="N28" s="212">
        <v>1.0</v>
      </c>
      <c r="O28" s="212"/>
    </row>
    <row r="29">
      <c r="C29" s="41" t="s">
        <v>926</v>
      </c>
      <c r="D29" s="17"/>
      <c r="E29" s="72" t="s">
        <v>87</v>
      </c>
      <c r="F29" s="72" t="s">
        <v>927</v>
      </c>
      <c r="G29" s="72">
        <v>2.0</v>
      </c>
      <c r="H29" s="72"/>
      <c r="J29" s="211" t="s">
        <v>928</v>
      </c>
      <c r="K29" s="17"/>
      <c r="L29" s="212" t="s">
        <v>78</v>
      </c>
      <c r="M29" s="212" t="s">
        <v>929</v>
      </c>
      <c r="N29" s="212">
        <v>1.0</v>
      </c>
      <c r="O29" s="212"/>
    </row>
    <row r="30">
      <c r="C30" s="41" t="s">
        <v>884</v>
      </c>
      <c r="D30" s="17"/>
      <c r="E30" s="72" t="s">
        <v>168</v>
      </c>
      <c r="F30" s="72" t="s">
        <v>930</v>
      </c>
      <c r="G30" s="72"/>
      <c r="H30" s="72" t="s">
        <v>212</v>
      </c>
      <c r="J30" s="211" t="s">
        <v>931</v>
      </c>
      <c r="K30" s="17"/>
      <c r="L30" s="212" t="s">
        <v>78</v>
      </c>
      <c r="M30" s="212" t="s">
        <v>932</v>
      </c>
      <c r="N30" s="212">
        <v>1.0</v>
      </c>
      <c r="O30" s="212"/>
    </row>
    <row r="31">
      <c r="C31" s="41" t="s">
        <v>884</v>
      </c>
      <c r="D31" s="17"/>
      <c r="E31" s="72" t="s">
        <v>87</v>
      </c>
      <c r="F31" s="213" t="s">
        <v>933</v>
      </c>
      <c r="G31" s="72"/>
      <c r="H31" s="72" t="s">
        <v>212</v>
      </c>
      <c r="J31" s="211" t="s">
        <v>934</v>
      </c>
      <c r="K31" s="17"/>
      <c r="L31" s="212" t="s">
        <v>845</v>
      </c>
      <c r="M31" s="212" t="s">
        <v>78</v>
      </c>
      <c r="N31" s="212">
        <v>1.0</v>
      </c>
      <c r="O31" s="212"/>
    </row>
    <row r="32">
      <c r="C32" s="41" t="s">
        <v>884</v>
      </c>
      <c r="D32" s="17"/>
      <c r="E32" s="72" t="s">
        <v>78</v>
      </c>
      <c r="F32" s="92" t="s">
        <v>78</v>
      </c>
      <c r="G32" s="72"/>
      <c r="H32" s="72" t="s">
        <v>212</v>
      </c>
      <c r="J32" s="212"/>
      <c r="K32" s="212"/>
      <c r="L32" s="212"/>
      <c r="M32" s="212"/>
      <c r="N32" s="212"/>
      <c r="O32" s="212"/>
    </row>
    <row r="33">
      <c r="C33" s="41" t="s">
        <v>887</v>
      </c>
      <c r="D33" s="17"/>
      <c r="E33" s="72" t="s">
        <v>78</v>
      </c>
      <c r="F33" s="72" t="s">
        <v>78</v>
      </c>
      <c r="G33" s="72"/>
      <c r="H33" s="72" t="s">
        <v>212</v>
      </c>
      <c r="J33" s="211" t="s">
        <v>935</v>
      </c>
      <c r="K33" s="17"/>
      <c r="L33" s="212" t="s">
        <v>845</v>
      </c>
      <c r="M33" s="212" t="s">
        <v>78</v>
      </c>
      <c r="N33" s="212">
        <v>1.0</v>
      </c>
      <c r="O33" s="212"/>
    </row>
    <row r="34">
      <c r="C34" s="41" t="s">
        <v>936</v>
      </c>
      <c r="D34" s="17"/>
      <c r="E34" s="72" t="s">
        <v>168</v>
      </c>
      <c r="F34" s="72" t="s">
        <v>937</v>
      </c>
      <c r="G34" s="72"/>
      <c r="H34" s="72" t="s">
        <v>212</v>
      </c>
      <c r="J34" s="211"/>
      <c r="K34" s="17"/>
      <c r="L34" s="212"/>
      <c r="M34" s="212"/>
      <c r="N34" s="212"/>
      <c r="O34" s="212"/>
    </row>
    <row r="35">
      <c r="C35" s="41" t="s">
        <v>936</v>
      </c>
      <c r="D35" s="17"/>
      <c r="E35" s="72" t="s">
        <v>938</v>
      </c>
      <c r="F35" s="72" t="s">
        <v>307</v>
      </c>
      <c r="G35" s="72"/>
      <c r="H35" s="72" t="s">
        <v>212</v>
      </c>
      <c r="J35" s="211" t="s">
        <v>939</v>
      </c>
      <c r="K35" s="17"/>
      <c r="L35" s="212" t="s">
        <v>78</v>
      </c>
      <c r="M35" s="212" t="s">
        <v>78</v>
      </c>
      <c r="N35" s="212">
        <v>1.0</v>
      </c>
      <c r="O35" s="212"/>
    </row>
    <row r="36">
      <c r="C36" s="41" t="s">
        <v>940</v>
      </c>
      <c r="D36" s="17"/>
      <c r="E36" s="72" t="s">
        <v>87</v>
      </c>
      <c r="F36" s="72" t="s">
        <v>312</v>
      </c>
      <c r="G36" s="72">
        <v>1.0</v>
      </c>
      <c r="H36" s="72"/>
      <c r="J36" s="211" t="s">
        <v>941</v>
      </c>
      <c r="K36" s="17"/>
      <c r="L36" s="212" t="s">
        <v>847</v>
      </c>
      <c r="M36" s="212" t="s">
        <v>942</v>
      </c>
      <c r="N36" s="212">
        <v>1.0</v>
      </c>
      <c r="O36" s="212"/>
    </row>
    <row r="37">
      <c r="C37" s="41" t="s">
        <v>940</v>
      </c>
      <c r="D37" s="17"/>
      <c r="E37" s="72" t="s">
        <v>943</v>
      </c>
      <c r="F37" s="72" t="s">
        <v>78</v>
      </c>
      <c r="G37" s="72"/>
      <c r="H37" s="72" t="s">
        <v>212</v>
      </c>
      <c r="J37" s="211" t="s">
        <v>944</v>
      </c>
      <c r="K37" s="17"/>
      <c r="L37" s="212" t="s">
        <v>945</v>
      </c>
      <c r="M37" s="212" t="s">
        <v>78</v>
      </c>
      <c r="N37" s="212">
        <v>2.0</v>
      </c>
      <c r="O37" s="212"/>
    </row>
    <row r="38">
      <c r="C38" s="41" t="s">
        <v>940</v>
      </c>
      <c r="D38" s="17"/>
      <c r="E38" s="72" t="s">
        <v>78</v>
      </c>
      <c r="F38" s="72" t="s">
        <v>78</v>
      </c>
      <c r="G38" s="72">
        <v>0.0</v>
      </c>
      <c r="H38" s="72" t="s">
        <v>946</v>
      </c>
      <c r="J38" s="214" t="s">
        <v>38</v>
      </c>
      <c r="K38" s="17"/>
      <c r="L38" s="212"/>
      <c r="M38" s="212"/>
      <c r="N38" s="212">
        <f>SUM(N28:N37)</f>
        <v>9</v>
      </c>
      <c r="O38" s="212"/>
    </row>
    <row r="39">
      <c r="C39" s="41" t="s">
        <v>793</v>
      </c>
      <c r="D39" s="17"/>
      <c r="E39" s="72" t="s">
        <v>87</v>
      </c>
      <c r="F39" s="72" t="s">
        <v>947</v>
      </c>
      <c r="G39" s="72">
        <v>1.0</v>
      </c>
      <c r="H39" s="72"/>
    </row>
    <row r="40">
      <c r="C40" s="41" t="s">
        <v>793</v>
      </c>
      <c r="D40" s="17"/>
      <c r="E40" s="72" t="s">
        <v>87</v>
      </c>
      <c r="F40" s="72" t="s">
        <v>948</v>
      </c>
      <c r="G40" s="72">
        <v>1.0</v>
      </c>
      <c r="H40" s="72"/>
    </row>
    <row r="41">
      <c r="C41" s="41" t="s">
        <v>808</v>
      </c>
      <c r="D41" s="17"/>
      <c r="E41" s="72" t="s">
        <v>87</v>
      </c>
      <c r="F41" s="72" t="s">
        <v>159</v>
      </c>
      <c r="G41" s="72">
        <v>0.0</v>
      </c>
      <c r="H41" s="72" t="s">
        <v>949</v>
      </c>
    </row>
    <row r="42">
      <c r="C42" s="41" t="s">
        <v>950</v>
      </c>
      <c r="D42" s="17"/>
      <c r="E42" s="72" t="s">
        <v>951</v>
      </c>
      <c r="F42" s="72">
        <v>4205.0</v>
      </c>
      <c r="G42" s="72">
        <v>2.0</v>
      </c>
      <c r="H42" s="72"/>
      <c r="J42" s="28" t="s">
        <v>58</v>
      </c>
      <c r="K42" s="16"/>
      <c r="L42" s="16"/>
      <c r="M42" s="16"/>
      <c r="N42" s="16"/>
      <c r="O42" s="17"/>
    </row>
    <row r="43">
      <c r="C43" s="41" t="s">
        <v>952</v>
      </c>
      <c r="D43" s="17"/>
      <c r="E43" s="72" t="s">
        <v>78</v>
      </c>
      <c r="F43" s="72" t="s">
        <v>78</v>
      </c>
      <c r="G43" s="72">
        <v>3.0</v>
      </c>
      <c r="H43" s="72"/>
      <c r="J43" s="28" t="s">
        <v>14</v>
      </c>
      <c r="K43" s="16"/>
      <c r="L43" s="16"/>
      <c r="M43" s="16"/>
      <c r="N43" s="16"/>
      <c r="O43" s="17"/>
    </row>
    <row r="44">
      <c r="C44" s="41" t="s">
        <v>953</v>
      </c>
      <c r="D44" s="17"/>
      <c r="E44" s="72" t="s">
        <v>289</v>
      </c>
      <c r="F44" s="72" t="s">
        <v>954</v>
      </c>
      <c r="G44" s="72"/>
      <c r="H44" s="72" t="s">
        <v>212</v>
      </c>
      <c r="J44" s="28" t="s">
        <v>60</v>
      </c>
      <c r="K44" s="17"/>
      <c r="L44" s="30" t="s">
        <v>16</v>
      </c>
      <c r="M44" s="30" t="s">
        <v>17</v>
      </c>
      <c r="N44" s="30" t="s">
        <v>18</v>
      </c>
      <c r="O44" s="30" t="s">
        <v>19</v>
      </c>
    </row>
    <row r="45">
      <c r="C45" s="41" t="s">
        <v>955</v>
      </c>
      <c r="D45" s="17"/>
      <c r="E45" s="72" t="s">
        <v>75</v>
      </c>
      <c r="F45" s="72" t="s">
        <v>956</v>
      </c>
      <c r="G45" s="72"/>
      <c r="H45" s="72" t="s">
        <v>212</v>
      </c>
      <c r="J45" s="28" t="s">
        <v>957</v>
      </c>
      <c r="K45" s="17"/>
      <c r="L45" s="28" t="s">
        <v>958</v>
      </c>
      <c r="M45" s="16"/>
      <c r="N45" s="16"/>
      <c r="O45" s="17"/>
    </row>
    <row r="46">
      <c r="C46" s="41" t="s">
        <v>959</v>
      </c>
      <c r="D46" s="17"/>
      <c r="E46" s="72" t="s">
        <v>75</v>
      </c>
      <c r="F46" s="72" t="s">
        <v>960</v>
      </c>
      <c r="G46" s="72">
        <v>2.0</v>
      </c>
      <c r="H46" s="72"/>
      <c r="J46" s="41" t="s">
        <v>961</v>
      </c>
      <c r="K46" s="17"/>
      <c r="L46" s="72" t="s">
        <v>78</v>
      </c>
      <c r="M46" s="72" t="s">
        <v>78</v>
      </c>
      <c r="N46" s="72">
        <v>2.0</v>
      </c>
      <c r="O46" s="72"/>
    </row>
    <row r="47">
      <c r="C47" s="41" t="s">
        <v>962</v>
      </c>
      <c r="D47" s="17"/>
      <c r="E47" s="72" t="s">
        <v>78</v>
      </c>
      <c r="F47" s="72" t="s">
        <v>78</v>
      </c>
      <c r="G47" s="72"/>
      <c r="H47" s="72" t="s">
        <v>212</v>
      </c>
      <c r="J47" s="41" t="s">
        <v>514</v>
      </c>
      <c r="K47" s="17"/>
      <c r="L47" s="72" t="s">
        <v>232</v>
      </c>
      <c r="M47" s="72" t="s">
        <v>78</v>
      </c>
      <c r="N47" s="72">
        <v>2.0</v>
      </c>
      <c r="O47" s="72"/>
    </row>
    <row r="48">
      <c r="C48" s="41" t="s">
        <v>963</v>
      </c>
      <c r="D48" s="17"/>
      <c r="E48" s="72" t="s">
        <v>78</v>
      </c>
      <c r="F48" s="72" t="s">
        <v>78</v>
      </c>
      <c r="G48" s="72">
        <v>4.0</v>
      </c>
      <c r="H48" s="72"/>
      <c r="J48" s="42"/>
      <c r="K48" s="42"/>
      <c r="L48" s="72"/>
      <c r="M48" s="213"/>
      <c r="N48" s="72"/>
      <c r="O48" s="72"/>
    </row>
    <row r="49">
      <c r="C49" s="41" t="s">
        <v>964</v>
      </c>
      <c r="D49" s="17"/>
      <c r="E49" s="72" t="s">
        <v>78</v>
      </c>
      <c r="F49" s="72" t="s">
        <v>78</v>
      </c>
      <c r="G49" s="72"/>
      <c r="H49" s="72" t="s">
        <v>212</v>
      </c>
      <c r="J49" s="41" t="s">
        <v>965</v>
      </c>
      <c r="K49" s="17"/>
      <c r="L49" s="72" t="s">
        <v>87</v>
      </c>
      <c r="M49" s="213" t="s">
        <v>966</v>
      </c>
      <c r="N49" s="72">
        <v>1.0</v>
      </c>
      <c r="O49" s="72"/>
    </row>
    <row r="50">
      <c r="C50" s="73" t="s">
        <v>967</v>
      </c>
      <c r="D50" s="17"/>
      <c r="E50" s="72" t="s">
        <v>87</v>
      </c>
      <c r="F50" s="92" t="s">
        <v>968</v>
      </c>
      <c r="G50" s="72">
        <v>1.0</v>
      </c>
      <c r="H50" s="72"/>
      <c r="J50" s="41" t="s">
        <v>969</v>
      </c>
      <c r="K50" s="17"/>
      <c r="L50" s="72" t="s">
        <v>87</v>
      </c>
      <c r="M50" s="72" t="s">
        <v>655</v>
      </c>
      <c r="N50" s="72">
        <v>1.0</v>
      </c>
      <c r="O50" s="72"/>
    </row>
    <row r="51">
      <c r="C51" s="41" t="s">
        <v>970</v>
      </c>
      <c r="D51" s="17"/>
      <c r="E51" s="72" t="s">
        <v>222</v>
      </c>
      <c r="F51" s="72" t="s">
        <v>78</v>
      </c>
      <c r="G51" s="72">
        <v>0.0</v>
      </c>
      <c r="H51" s="72" t="s">
        <v>971</v>
      </c>
      <c r="J51" s="41" t="s">
        <v>972</v>
      </c>
      <c r="K51" s="17"/>
      <c r="L51" s="72" t="s">
        <v>78</v>
      </c>
      <c r="M51" s="72" t="s">
        <v>78</v>
      </c>
      <c r="N51" s="72">
        <v>1.0</v>
      </c>
      <c r="O51" s="72"/>
    </row>
    <row r="52">
      <c r="C52" s="73" t="s">
        <v>865</v>
      </c>
      <c r="D52" s="17"/>
      <c r="E52" s="42" t="s">
        <v>168</v>
      </c>
      <c r="F52" s="42" t="s">
        <v>78</v>
      </c>
      <c r="G52" s="42">
        <v>4.0</v>
      </c>
      <c r="H52" s="42"/>
      <c r="J52" s="41" t="s">
        <v>287</v>
      </c>
      <c r="K52" s="17"/>
      <c r="L52" s="72" t="s">
        <v>232</v>
      </c>
      <c r="M52" s="72" t="s">
        <v>973</v>
      </c>
      <c r="N52" s="72">
        <v>1.0</v>
      </c>
      <c r="O52" s="72"/>
    </row>
    <row r="53">
      <c r="C53" s="41" t="s">
        <v>890</v>
      </c>
      <c r="D53" s="17"/>
      <c r="E53" s="72" t="s">
        <v>974</v>
      </c>
      <c r="F53" s="92" t="s">
        <v>975</v>
      </c>
      <c r="G53" s="72">
        <v>1.0</v>
      </c>
      <c r="H53" s="72"/>
      <c r="J53" s="41" t="s">
        <v>976</v>
      </c>
      <c r="K53" s="17"/>
      <c r="L53" s="72" t="s">
        <v>87</v>
      </c>
      <c r="M53" s="72" t="s">
        <v>977</v>
      </c>
      <c r="N53" s="72">
        <v>1.0</v>
      </c>
      <c r="O53" s="72"/>
    </row>
    <row r="54">
      <c r="C54" s="73" t="s">
        <v>978</v>
      </c>
      <c r="D54" s="17"/>
      <c r="E54" s="72" t="s">
        <v>78</v>
      </c>
      <c r="F54" s="72" t="s">
        <v>979</v>
      </c>
      <c r="G54" s="72"/>
      <c r="H54" s="72" t="s">
        <v>212</v>
      </c>
      <c r="J54" s="41" t="s">
        <v>980</v>
      </c>
      <c r="K54" s="17"/>
      <c r="L54" s="72" t="s">
        <v>87</v>
      </c>
      <c r="M54" s="72" t="s">
        <v>512</v>
      </c>
      <c r="N54" s="72">
        <v>1.0</v>
      </c>
      <c r="O54" s="72"/>
    </row>
    <row r="55">
      <c r="C55" s="73" t="s">
        <v>981</v>
      </c>
      <c r="D55" s="17"/>
      <c r="E55" s="72" t="s">
        <v>289</v>
      </c>
      <c r="F55" s="92" t="s">
        <v>982</v>
      </c>
      <c r="G55" s="72">
        <v>1.0</v>
      </c>
      <c r="H55" s="72"/>
      <c r="J55" s="41" t="s">
        <v>980</v>
      </c>
      <c r="K55" s="17"/>
      <c r="L55" s="72" t="s">
        <v>78</v>
      </c>
      <c r="M55" s="92">
        <v>12235.0</v>
      </c>
      <c r="N55" s="72">
        <v>1.0</v>
      </c>
      <c r="O55" s="72"/>
    </row>
    <row r="56">
      <c r="C56" s="73" t="s">
        <v>983</v>
      </c>
      <c r="D56" s="17"/>
      <c r="E56" s="72" t="s">
        <v>78</v>
      </c>
      <c r="F56" s="72" t="s">
        <v>78</v>
      </c>
      <c r="G56" s="72">
        <v>3.0</v>
      </c>
      <c r="H56" s="72"/>
      <c r="I56" s="106"/>
      <c r="J56" s="41" t="s">
        <v>984</v>
      </c>
      <c r="K56" s="17"/>
      <c r="L56" s="72" t="s">
        <v>78</v>
      </c>
      <c r="M56" s="72" t="s">
        <v>78</v>
      </c>
      <c r="N56" s="72">
        <v>1.0</v>
      </c>
      <c r="O56" s="72"/>
    </row>
    <row r="57">
      <c r="C57" s="73" t="s">
        <v>122</v>
      </c>
      <c r="D57" s="17"/>
      <c r="E57" s="72" t="s">
        <v>78</v>
      </c>
      <c r="F57" s="72" t="s">
        <v>78</v>
      </c>
      <c r="G57" s="72"/>
      <c r="H57" s="72" t="s">
        <v>212</v>
      </c>
      <c r="J57" s="113" t="s">
        <v>38</v>
      </c>
      <c r="K57" s="17"/>
      <c r="L57" s="163">
        <f>SUM(N46:N56)</f>
        <v>12</v>
      </c>
      <c r="M57" s="16"/>
      <c r="N57" s="16"/>
      <c r="O57" s="17"/>
    </row>
    <row r="58">
      <c r="C58" s="41" t="s">
        <v>890</v>
      </c>
      <c r="D58" s="17"/>
      <c r="E58" s="72" t="s">
        <v>75</v>
      </c>
      <c r="F58" s="72" t="s">
        <v>295</v>
      </c>
      <c r="G58" s="72">
        <v>1.0</v>
      </c>
      <c r="H58" s="72"/>
      <c r="J58" s="215"/>
      <c r="K58" s="215"/>
      <c r="L58" s="216"/>
      <c r="M58" s="216"/>
      <c r="N58" s="216"/>
      <c r="O58" s="216"/>
    </row>
    <row r="59">
      <c r="C59" s="72" t="s">
        <v>985</v>
      </c>
      <c r="D59" s="72"/>
      <c r="E59" s="72" t="s">
        <v>951</v>
      </c>
      <c r="F59" s="72">
        <v>4311.0</v>
      </c>
      <c r="G59" s="72">
        <v>2.0</v>
      </c>
      <c r="H59" s="72"/>
      <c r="J59" s="215"/>
      <c r="K59" s="215"/>
      <c r="L59" s="216"/>
      <c r="M59" s="216"/>
      <c r="N59" s="216"/>
      <c r="O59" s="216"/>
    </row>
    <row r="60">
      <c r="C60" s="73" t="s">
        <v>986</v>
      </c>
      <c r="D60" s="17"/>
      <c r="E60" s="72"/>
      <c r="F60" s="72"/>
      <c r="G60" s="72">
        <f>SUM(G5:G57)</f>
        <v>41</v>
      </c>
      <c r="H60" s="72"/>
    </row>
    <row r="62">
      <c r="C62" s="28" t="s">
        <v>58</v>
      </c>
      <c r="D62" s="16"/>
      <c r="E62" s="16"/>
      <c r="F62" s="16"/>
      <c r="G62" s="16"/>
      <c r="H62" s="17"/>
    </row>
    <row r="63">
      <c r="C63" s="28" t="s">
        <v>14</v>
      </c>
      <c r="D63" s="16"/>
      <c r="E63" s="16"/>
      <c r="F63" s="16"/>
      <c r="G63" s="16"/>
      <c r="H63" s="17"/>
      <c r="J63" s="28" t="s">
        <v>58</v>
      </c>
      <c r="K63" s="16"/>
      <c r="L63" s="16"/>
      <c r="M63" s="16"/>
      <c r="N63" s="16"/>
      <c r="O63" s="17"/>
    </row>
    <row r="64">
      <c r="C64" s="28" t="s">
        <v>60</v>
      </c>
      <c r="D64" s="17"/>
      <c r="E64" s="30" t="s">
        <v>16</v>
      </c>
      <c r="F64" s="30" t="s">
        <v>17</v>
      </c>
      <c r="G64" s="30" t="s">
        <v>18</v>
      </c>
      <c r="H64" s="30" t="s">
        <v>19</v>
      </c>
      <c r="J64" s="28" t="s">
        <v>14</v>
      </c>
      <c r="K64" s="16"/>
      <c r="L64" s="16"/>
      <c r="M64" s="16"/>
      <c r="N64" s="16"/>
      <c r="O64" s="17"/>
    </row>
    <row r="65">
      <c r="C65" s="201" t="s">
        <v>987</v>
      </c>
      <c r="D65" s="17"/>
      <c r="E65" s="18"/>
      <c r="F65" s="16"/>
      <c r="G65" s="16"/>
      <c r="H65" s="17"/>
      <c r="J65" s="28" t="s">
        <v>60</v>
      </c>
      <c r="K65" s="17"/>
      <c r="L65" s="30" t="s">
        <v>16</v>
      </c>
      <c r="M65" s="30" t="s">
        <v>17</v>
      </c>
      <c r="N65" s="30" t="s">
        <v>18</v>
      </c>
      <c r="O65" s="30" t="s">
        <v>19</v>
      </c>
    </row>
    <row r="66">
      <c r="C66" s="25" t="s">
        <v>988</v>
      </c>
      <c r="D66" s="17"/>
      <c r="E66" s="4" t="s">
        <v>868</v>
      </c>
      <c r="F66" s="4" t="s">
        <v>989</v>
      </c>
      <c r="G66" s="4">
        <v>1.0</v>
      </c>
      <c r="H66" s="4"/>
      <c r="J66" s="28" t="s">
        <v>990</v>
      </c>
      <c r="K66" s="17"/>
      <c r="L66" s="28" t="s">
        <v>991</v>
      </c>
      <c r="M66" s="16"/>
      <c r="N66" s="16"/>
      <c r="O66" s="17"/>
    </row>
    <row r="67">
      <c r="C67" s="25" t="s">
        <v>992</v>
      </c>
      <c r="D67" s="17"/>
      <c r="E67" s="4" t="s">
        <v>993</v>
      </c>
      <c r="F67" s="4" t="s">
        <v>993</v>
      </c>
      <c r="G67" s="4">
        <v>1.0</v>
      </c>
      <c r="H67" s="4"/>
      <c r="J67" s="41" t="s">
        <v>961</v>
      </c>
      <c r="K67" s="17"/>
      <c r="L67" s="72" t="s">
        <v>78</v>
      </c>
      <c r="M67" s="72" t="s">
        <v>78</v>
      </c>
      <c r="N67" s="72">
        <v>2.0</v>
      </c>
      <c r="O67" s="72"/>
    </row>
    <row r="68">
      <c r="C68" s="25" t="s">
        <v>994</v>
      </c>
      <c r="D68" s="17"/>
      <c r="E68" s="4" t="s">
        <v>995</v>
      </c>
      <c r="F68" s="4" t="s">
        <v>993</v>
      </c>
      <c r="G68" s="4">
        <v>2.0</v>
      </c>
      <c r="H68" s="4"/>
      <c r="J68" s="41" t="s">
        <v>646</v>
      </c>
      <c r="K68" s="17"/>
      <c r="L68" s="72" t="s">
        <v>78</v>
      </c>
      <c r="M68" s="72" t="s">
        <v>78</v>
      </c>
      <c r="N68" s="72">
        <v>1.0</v>
      </c>
      <c r="O68" s="72"/>
    </row>
    <row r="69">
      <c r="C69" s="25" t="s">
        <v>935</v>
      </c>
      <c r="D69" s="17"/>
      <c r="E69" s="4" t="s">
        <v>868</v>
      </c>
      <c r="F69" s="4" t="s">
        <v>996</v>
      </c>
      <c r="G69" s="4">
        <v>1.0</v>
      </c>
      <c r="H69" s="4"/>
      <c r="J69" s="41" t="s">
        <v>997</v>
      </c>
      <c r="K69" s="17"/>
      <c r="L69" s="72" t="s">
        <v>998</v>
      </c>
      <c r="M69" s="92" t="s">
        <v>999</v>
      </c>
      <c r="N69" s="72">
        <v>1.0</v>
      </c>
      <c r="O69" s="72"/>
    </row>
    <row r="70">
      <c r="C70" s="25" t="s">
        <v>1000</v>
      </c>
      <c r="D70" s="17"/>
      <c r="E70" s="4" t="s">
        <v>868</v>
      </c>
      <c r="F70" s="4" t="s">
        <v>1001</v>
      </c>
      <c r="G70" s="4">
        <v>1.0</v>
      </c>
      <c r="H70" s="4"/>
      <c r="J70" s="41" t="s">
        <v>1002</v>
      </c>
      <c r="K70" s="17"/>
      <c r="L70" s="72" t="s">
        <v>1003</v>
      </c>
      <c r="M70" s="72" t="s">
        <v>78</v>
      </c>
      <c r="N70" s="72">
        <v>1.0</v>
      </c>
      <c r="O70" s="72"/>
    </row>
    <row r="71">
      <c r="C71" s="25" t="s">
        <v>38</v>
      </c>
      <c r="D71" s="17"/>
      <c r="E71" s="4"/>
      <c r="F71" s="4"/>
      <c r="G71" s="4">
        <v>6.0</v>
      </c>
      <c r="H71" s="4"/>
      <c r="J71" s="41" t="s">
        <v>1004</v>
      </c>
      <c r="K71" s="17"/>
      <c r="L71" s="72" t="s">
        <v>87</v>
      </c>
      <c r="M71" s="72" t="s">
        <v>1005</v>
      </c>
      <c r="N71" s="72"/>
      <c r="O71" s="72" t="s">
        <v>212</v>
      </c>
    </row>
    <row r="72">
      <c r="C72" s="18" t="s">
        <v>58</v>
      </c>
      <c r="D72" s="16"/>
      <c r="E72" s="16"/>
      <c r="F72" s="16"/>
      <c r="G72" s="16"/>
      <c r="H72" s="17"/>
      <c r="J72" s="41" t="s">
        <v>122</v>
      </c>
      <c r="K72" s="17"/>
      <c r="L72" s="72" t="s">
        <v>87</v>
      </c>
      <c r="M72" s="72" t="s">
        <v>1006</v>
      </c>
      <c r="N72" s="72">
        <v>1.0</v>
      </c>
      <c r="O72" s="72"/>
    </row>
    <row r="73">
      <c r="C73" s="18" t="s">
        <v>14</v>
      </c>
      <c r="D73" s="16"/>
      <c r="E73" s="16"/>
      <c r="F73" s="16"/>
      <c r="G73" s="16"/>
      <c r="H73" s="17"/>
      <c r="J73" s="41" t="s">
        <v>1007</v>
      </c>
      <c r="K73" s="17"/>
      <c r="L73" s="72" t="s">
        <v>78</v>
      </c>
      <c r="M73" s="72" t="s">
        <v>78</v>
      </c>
      <c r="N73" s="72">
        <v>3.0</v>
      </c>
      <c r="O73" s="72"/>
    </row>
    <row r="74">
      <c r="C74" s="18" t="s">
        <v>60</v>
      </c>
      <c r="D74" s="17"/>
      <c r="E74" s="19" t="s">
        <v>16</v>
      </c>
      <c r="F74" s="19" t="s">
        <v>17</v>
      </c>
      <c r="G74" s="19" t="s">
        <v>18</v>
      </c>
      <c r="H74" s="19" t="s">
        <v>19</v>
      </c>
      <c r="J74" s="41" t="s">
        <v>1008</v>
      </c>
      <c r="K74" s="17"/>
      <c r="L74" s="72" t="s">
        <v>78</v>
      </c>
      <c r="M74" s="72" t="s">
        <v>1009</v>
      </c>
      <c r="N74" s="72">
        <v>1.0</v>
      </c>
      <c r="O74" s="72"/>
    </row>
    <row r="75">
      <c r="C75" s="201" t="s">
        <v>1010</v>
      </c>
      <c r="D75" s="17"/>
      <c r="E75" s="18"/>
      <c r="F75" s="16"/>
      <c r="G75" s="16"/>
      <c r="H75" s="17"/>
      <c r="J75" s="41" t="s">
        <v>649</v>
      </c>
      <c r="K75" s="17"/>
      <c r="L75" s="72" t="s">
        <v>78</v>
      </c>
      <c r="M75" s="72" t="s">
        <v>78</v>
      </c>
      <c r="N75" s="72">
        <v>1.0</v>
      </c>
      <c r="O75" s="72"/>
    </row>
    <row r="76">
      <c r="C76" s="25" t="s">
        <v>1011</v>
      </c>
      <c r="D76" s="17"/>
      <c r="E76" s="4" t="s">
        <v>155</v>
      </c>
      <c r="F76" s="4">
        <v>14040.0</v>
      </c>
      <c r="G76" s="4">
        <v>2.0</v>
      </c>
      <c r="H76" s="4"/>
      <c r="J76" s="41" t="s">
        <v>1008</v>
      </c>
      <c r="K76" s="17"/>
      <c r="L76" s="72" t="s">
        <v>87</v>
      </c>
      <c r="M76" s="72" t="s">
        <v>1005</v>
      </c>
      <c r="N76" s="72">
        <v>1.0</v>
      </c>
      <c r="O76" s="72"/>
    </row>
    <row r="77">
      <c r="C77" s="25" t="s">
        <v>1012</v>
      </c>
      <c r="D77" s="17"/>
      <c r="E77" s="4" t="s">
        <v>951</v>
      </c>
      <c r="F77" s="4">
        <v>4205.0</v>
      </c>
      <c r="G77" s="4">
        <v>3.0</v>
      </c>
      <c r="H77" s="4"/>
      <c r="J77" s="41" t="s">
        <v>406</v>
      </c>
      <c r="K77" s="17"/>
      <c r="L77" s="72" t="s">
        <v>87</v>
      </c>
      <c r="M77" s="72" t="s">
        <v>1013</v>
      </c>
      <c r="N77" s="72">
        <v>1.0</v>
      </c>
      <c r="O77" s="72"/>
    </row>
    <row r="78">
      <c r="C78" s="25" t="s">
        <v>257</v>
      </c>
      <c r="D78" s="17"/>
      <c r="E78" s="4" t="s">
        <v>951</v>
      </c>
      <c r="F78" s="4">
        <v>4311.0</v>
      </c>
      <c r="G78" s="4">
        <v>2.0</v>
      </c>
      <c r="H78" s="4"/>
      <c r="J78" s="41" t="s">
        <v>1014</v>
      </c>
      <c r="K78" s="17"/>
      <c r="L78" s="72" t="s">
        <v>78</v>
      </c>
      <c r="M78" s="72" t="s">
        <v>1015</v>
      </c>
      <c r="N78" s="72">
        <v>1.0</v>
      </c>
      <c r="O78" s="72"/>
    </row>
    <row r="79">
      <c r="C79" s="25" t="s">
        <v>38</v>
      </c>
      <c r="D79" s="17"/>
      <c r="E79" s="4"/>
      <c r="F79" s="4"/>
      <c r="G79" s="4">
        <f>SUM(G76:G78)</f>
        <v>7</v>
      </c>
      <c r="H79" s="4"/>
      <c r="J79" s="41" t="s">
        <v>1016</v>
      </c>
      <c r="K79" s="17"/>
      <c r="L79" s="72" t="s">
        <v>78</v>
      </c>
      <c r="M79" s="72" t="s">
        <v>78</v>
      </c>
      <c r="N79" s="72">
        <v>1.0</v>
      </c>
      <c r="O79" s="72"/>
    </row>
    <row r="80">
      <c r="I80" s="106"/>
      <c r="J80" s="41" t="s">
        <v>1017</v>
      </c>
      <c r="K80" s="17"/>
      <c r="L80" s="72" t="s">
        <v>78</v>
      </c>
      <c r="M80" s="72" t="s">
        <v>78</v>
      </c>
      <c r="N80" s="72"/>
      <c r="O80" s="72" t="s">
        <v>212</v>
      </c>
    </row>
    <row r="81">
      <c r="C81" s="18" t="s">
        <v>58</v>
      </c>
      <c r="D81" s="16"/>
      <c r="E81" s="16"/>
      <c r="F81" s="16"/>
      <c r="G81" s="16"/>
      <c r="H81" s="17"/>
      <c r="I81" s="106"/>
      <c r="J81" s="41" t="s">
        <v>1018</v>
      </c>
      <c r="K81" s="17"/>
      <c r="L81" s="72" t="s">
        <v>87</v>
      </c>
      <c r="M81" s="72" t="s">
        <v>1019</v>
      </c>
      <c r="N81" s="72">
        <v>1.0</v>
      </c>
      <c r="O81" s="72"/>
    </row>
    <row r="82">
      <c r="C82" s="18" t="s">
        <v>14</v>
      </c>
      <c r="D82" s="16"/>
      <c r="E82" s="16"/>
      <c r="F82" s="16"/>
      <c r="G82" s="16"/>
      <c r="H82" s="17"/>
      <c r="J82" s="113" t="s">
        <v>38</v>
      </c>
      <c r="K82" s="17"/>
      <c r="L82" s="163">
        <v>18.0</v>
      </c>
      <c r="M82" s="16"/>
      <c r="N82" s="16"/>
      <c r="O82" s="17"/>
    </row>
    <row r="83">
      <c r="C83" s="28" t="s">
        <v>60</v>
      </c>
      <c r="D83" s="17"/>
      <c r="E83" s="30" t="s">
        <v>16</v>
      </c>
      <c r="F83" s="30" t="s">
        <v>17</v>
      </c>
      <c r="G83" s="30" t="s">
        <v>18</v>
      </c>
      <c r="H83" s="30" t="s">
        <v>19</v>
      </c>
    </row>
    <row r="84">
      <c r="C84" s="28" t="s">
        <v>1020</v>
      </c>
      <c r="D84" s="17"/>
      <c r="E84" s="28" t="s">
        <v>870</v>
      </c>
      <c r="F84" s="16"/>
      <c r="G84" s="16"/>
      <c r="H84" s="17"/>
    </row>
    <row r="85">
      <c r="C85" s="41" t="s">
        <v>1021</v>
      </c>
      <c r="D85" s="17"/>
      <c r="E85" s="72" t="s">
        <v>1022</v>
      </c>
      <c r="F85" s="72">
        <v>8.8065751795E10</v>
      </c>
      <c r="G85" s="72">
        <v>2.0</v>
      </c>
      <c r="H85" s="72"/>
      <c r="J85" s="28" t="s">
        <v>58</v>
      </c>
      <c r="K85" s="16"/>
      <c r="L85" s="16"/>
      <c r="M85" s="16"/>
      <c r="N85" s="16"/>
      <c r="O85" s="17"/>
    </row>
    <row r="86">
      <c r="C86" s="41" t="s">
        <v>1023</v>
      </c>
      <c r="D86" s="17"/>
      <c r="E86" s="72" t="s">
        <v>78</v>
      </c>
      <c r="F86" s="72" t="s">
        <v>78</v>
      </c>
      <c r="G86" s="72"/>
      <c r="H86" s="72" t="s">
        <v>1024</v>
      </c>
      <c r="J86" s="28" t="s">
        <v>14</v>
      </c>
      <c r="K86" s="16"/>
      <c r="L86" s="16"/>
      <c r="M86" s="16"/>
      <c r="N86" s="16"/>
      <c r="O86" s="17"/>
    </row>
    <row r="87">
      <c r="C87" s="41" t="s">
        <v>1025</v>
      </c>
      <c r="D87" s="17"/>
      <c r="E87" s="72" t="s">
        <v>1026</v>
      </c>
      <c r="F87" s="92">
        <v>77628.0</v>
      </c>
      <c r="G87" s="72">
        <v>1.0</v>
      </c>
      <c r="H87" s="72"/>
      <c r="J87" s="28" t="s">
        <v>60</v>
      </c>
      <c r="K87" s="17"/>
      <c r="L87" s="30" t="s">
        <v>16</v>
      </c>
      <c r="M87" s="30" t="s">
        <v>17</v>
      </c>
      <c r="N87" s="30" t="s">
        <v>18</v>
      </c>
      <c r="O87" s="30" t="s">
        <v>19</v>
      </c>
    </row>
    <row r="88">
      <c r="C88" s="41" t="s">
        <v>1027</v>
      </c>
      <c r="D88" s="17"/>
      <c r="E88" s="72" t="s">
        <v>78</v>
      </c>
      <c r="F88" s="72" t="s">
        <v>78</v>
      </c>
      <c r="G88" s="72">
        <v>2.0</v>
      </c>
      <c r="H88" s="72" t="s">
        <v>1028</v>
      </c>
      <c r="J88" s="217" t="s">
        <v>1029</v>
      </c>
      <c r="K88" s="17"/>
      <c r="L88" s="218" t="s">
        <v>875</v>
      </c>
      <c r="M88" s="16"/>
      <c r="N88" s="16"/>
      <c r="O88" s="17"/>
    </row>
    <row r="89">
      <c r="C89" s="41" t="s">
        <v>884</v>
      </c>
      <c r="D89" s="17"/>
      <c r="E89" s="72" t="s">
        <v>87</v>
      </c>
      <c r="F89" s="72">
        <v>7117.0</v>
      </c>
      <c r="G89" s="72">
        <v>3.0</v>
      </c>
      <c r="H89" s="72"/>
      <c r="J89" s="73" t="s">
        <v>1030</v>
      </c>
      <c r="K89" s="17"/>
      <c r="L89" s="72" t="s">
        <v>868</v>
      </c>
      <c r="M89" s="72" t="s">
        <v>1031</v>
      </c>
      <c r="N89" s="72">
        <v>1.0</v>
      </c>
      <c r="O89" s="72"/>
    </row>
    <row r="90">
      <c r="C90" s="41" t="s">
        <v>1032</v>
      </c>
      <c r="D90" s="17"/>
      <c r="E90" s="72" t="s">
        <v>78</v>
      </c>
      <c r="F90" s="72" t="s">
        <v>78</v>
      </c>
      <c r="G90" s="72">
        <v>7.0</v>
      </c>
      <c r="H90" s="72" t="s">
        <v>1028</v>
      </c>
      <c r="J90" s="73" t="s">
        <v>1033</v>
      </c>
      <c r="K90" s="17"/>
      <c r="L90" s="72" t="s">
        <v>75</v>
      </c>
      <c r="M90" s="72" t="s">
        <v>1034</v>
      </c>
      <c r="N90" s="72">
        <v>1.0</v>
      </c>
      <c r="O90" s="72"/>
    </row>
    <row r="91">
      <c r="C91" s="41" t="s">
        <v>1035</v>
      </c>
      <c r="D91" s="17"/>
      <c r="E91" s="72" t="s">
        <v>78</v>
      </c>
      <c r="F91" s="72" t="s">
        <v>78</v>
      </c>
      <c r="G91" s="72">
        <v>1.0</v>
      </c>
      <c r="H91" s="72" t="s">
        <v>1028</v>
      </c>
      <c r="J91" s="73" t="s">
        <v>283</v>
      </c>
      <c r="K91" s="17"/>
      <c r="L91" s="72" t="s">
        <v>289</v>
      </c>
      <c r="M91" s="72" t="s">
        <v>1036</v>
      </c>
      <c r="N91" s="72">
        <v>1.0</v>
      </c>
      <c r="O91" s="72"/>
    </row>
    <row r="92">
      <c r="C92" s="41" t="s">
        <v>1037</v>
      </c>
      <c r="D92" s="17"/>
      <c r="E92" s="72" t="s">
        <v>1038</v>
      </c>
      <c r="F92" s="92" t="s">
        <v>1039</v>
      </c>
      <c r="G92" s="72">
        <v>1.0</v>
      </c>
      <c r="H92" s="72"/>
      <c r="J92" s="73" t="s">
        <v>1040</v>
      </c>
      <c r="K92" s="17"/>
      <c r="L92" s="72" t="s">
        <v>78</v>
      </c>
      <c r="M92" s="72" t="s">
        <v>78</v>
      </c>
      <c r="N92" s="72">
        <v>1.0</v>
      </c>
      <c r="O92" s="72"/>
    </row>
    <row r="93">
      <c r="C93" s="41" t="s">
        <v>1041</v>
      </c>
      <c r="D93" s="17"/>
      <c r="E93" s="72" t="s">
        <v>1042</v>
      </c>
      <c r="F93" s="92">
        <v>20311.0</v>
      </c>
      <c r="G93" s="72">
        <v>1.0</v>
      </c>
      <c r="H93" s="72"/>
      <c r="J93" s="73" t="s">
        <v>896</v>
      </c>
      <c r="K93" s="17"/>
      <c r="L93" s="72" t="s">
        <v>845</v>
      </c>
      <c r="M93" s="72" t="s">
        <v>1043</v>
      </c>
      <c r="N93" s="72">
        <v>1.0</v>
      </c>
      <c r="O93" s="72"/>
    </row>
    <row r="94">
      <c r="C94" s="73" t="s">
        <v>1044</v>
      </c>
      <c r="D94" s="17"/>
      <c r="E94" s="72" t="s">
        <v>78</v>
      </c>
      <c r="F94" s="72" t="s">
        <v>78</v>
      </c>
      <c r="G94" s="72">
        <v>4.0</v>
      </c>
      <c r="H94" s="72"/>
      <c r="J94" s="73" t="s">
        <v>157</v>
      </c>
      <c r="K94" s="17"/>
      <c r="L94" s="72" t="s">
        <v>847</v>
      </c>
      <c r="M94" s="72" t="s">
        <v>906</v>
      </c>
      <c r="N94" s="72">
        <v>1.0</v>
      </c>
      <c r="O94" s="72"/>
    </row>
    <row r="95">
      <c r="C95" s="73" t="s">
        <v>1045</v>
      </c>
      <c r="D95" s="17"/>
      <c r="E95" s="72" t="s">
        <v>78</v>
      </c>
      <c r="F95" s="72" t="s">
        <v>78</v>
      </c>
      <c r="G95" s="72">
        <v>3.0</v>
      </c>
      <c r="H95" s="72"/>
      <c r="I95" s="106"/>
      <c r="J95" s="73" t="s">
        <v>199</v>
      </c>
      <c r="K95" s="17"/>
      <c r="L95" s="72" t="s">
        <v>78</v>
      </c>
      <c r="M95" s="72" t="s">
        <v>78</v>
      </c>
      <c r="N95" s="72">
        <v>1.0</v>
      </c>
      <c r="O95" s="72"/>
    </row>
    <row r="96">
      <c r="C96" s="73" t="s">
        <v>1046</v>
      </c>
      <c r="D96" s="17"/>
      <c r="E96" s="72" t="s">
        <v>78</v>
      </c>
      <c r="F96" s="72" t="s">
        <v>78</v>
      </c>
      <c r="G96" s="72">
        <v>3.0</v>
      </c>
      <c r="H96" s="72"/>
      <c r="J96" s="73" t="s">
        <v>175</v>
      </c>
      <c r="K96" s="17"/>
      <c r="L96" s="72" t="s">
        <v>87</v>
      </c>
      <c r="M96" s="213" t="s">
        <v>1047</v>
      </c>
      <c r="N96" s="72">
        <v>1.0</v>
      </c>
      <c r="O96" s="72"/>
    </row>
    <row r="97">
      <c r="C97" s="73" t="s">
        <v>90</v>
      </c>
      <c r="D97" s="17"/>
      <c r="E97" s="72" t="s">
        <v>78</v>
      </c>
      <c r="F97" s="72" t="s">
        <v>78</v>
      </c>
      <c r="G97" s="72">
        <v>3.0</v>
      </c>
      <c r="H97" s="72"/>
      <c r="J97" s="73" t="s">
        <v>1048</v>
      </c>
      <c r="K97" s="17"/>
      <c r="L97" s="72" t="s">
        <v>868</v>
      </c>
      <c r="M97" s="72" t="s">
        <v>78</v>
      </c>
      <c r="N97" s="72">
        <v>2.0</v>
      </c>
      <c r="O97" s="72"/>
    </row>
    <row r="98">
      <c r="C98" s="73" t="s">
        <v>90</v>
      </c>
      <c r="D98" s="17"/>
      <c r="E98" s="72" t="s">
        <v>168</v>
      </c>
      <c r="F98" s="72" t="s">
        <v>1049</v>
      </c>
      <c r="G98" s="72">
        <v>1.0</v>
      </c>
      <c r="H98" s="72"/>
      <c r="J98" s="73" t="s">
        <v>889</v>
      </c>
      <c r="K98" s="17"/>
      <c r="L98" s="72" t="s">
        <v>78</v>
      </c>
      <c r="M98" s="72" t="s">
        <v>78</v>
      </c>
      <c r="N98" s="72">
        <v>1.0</v>
      </c>
      <c r="O98" s="72"/>
    </row>
    <row r="99">
      <c r="C99" s="73" t="s">
        <v>1050</v>
      </c>
      <c r="D99" s="17"/>
      <c r="E99" s="72" t="s">
        <v>78</v>
      </c>
      <c r="F99" s="72" t="s">
        <v>78</v>
      </c>
      <c r="G99" s="72">
        <v>6.0</v>
      </c>
      <c r="H99" s="72"/>
      <c r="J99" s="72" t="s">
        <v>883</v>
      </c>
      <c r="K99" s="72"/>
      <c r="L99" s="72" t="s">
        <v>78</v>
      </c>
      <c r="M99" s="72" t="s">
        <v>78</v>
      </c>
      <c r="N99" s="72">
        <v>1.0</v>
      </c>
      <c r="O99" s="72"/>
    </row>
    <row r="100">
      <c r="C100" s="73" t="s">
        <v>1051</v>
      </c>
      <c r="D100" s="17"/>
      <c r="E100" s="72" t="s">
        <v>87</v>
      </c>
      <c r="F100" s="72">
        <v>1020.0</v>
      </c>
      <c r="G100" s="72">
        <v>1.0</v>
      </c>
      <c r="H100" s="72"/>
      <c r="J100" s="72"/>
      <c r="K100" s="72"/>
      <c r="L100" s="72"/>
      <c r="M100" s="72"/>
      <c r="N100" s="72"/>
      <c r="O100" s="72"/>
    </row>
    <row r="101">
      <c r="C101" s="73" t="s">
        <v>273</v>
      </c>
      <c r="D101" s="17"/>
      <c r="E101" s="72" t="s">
        <v>868</v>
      </c>
      <c r="F101" s="72" t="s">
        <v>1052</v>
      </c>
      <c r="G101" s="72">
        <v>1.0</v>
      </c>
      <c r="H101" s="72"/>
      <c r="J101" s="73" t="s">
        <v>1053</v>
      </c>
      <c r="K101" s="17"/>
      <c r="L101" s="72" t="s">
        <v>78</v>
      </c>
      <c r="M101" s="72" t="s">
        <v>78</v>
      </c>
      <c r="N101" s="72">
        <v>1.0</v>
      </c>
      <c r="O101" s="72"/>
    </row>
    <row r="102">
      <c r="C102" s="73" t="s">
        <v>273</v>
      </c>
      <c r="D102" s="17"/>
      <c r="E102" s="72" t="s">
        <v>289</v>
      </c>
      <c r="F102" s="72" t="s">
        <v>919</v>
      </c>
      <c r="G102" s="72">
        <v>2.0</v>
      </c>
      <c r="H102" s="72"/>
      <c r="J102" s="116" t="s">
        <v>38</v>
      </c>
      <c r="K102" s="17"/>
      <c r="L102" s="72"/>
      <c r="M102" s="72"/>
      <c r="N102" s="72">
        <f>SUM(N89:N101)</f>
        <v>13</v>
      </c>
      <c r="O102" s="72"/>
    </row>
    <row r="103">
      <c r="C103" s="73" t="s">
        <v>273</v>
      </c>
      <c r="D103" s="17"/>
      <c r="E103" s="72" t="s">
        <v>87</v>
      </c>
      <c r="F103" s="72" t="s">
        <v>292</v>
      </c>
      <c r="G103" s="72">
        <v>2.0</v>
      </c>
      <c r="H103" s="72"/>
      <c r="J103" s="72"/>
      <c r="K103" s="72"/>
      <c r="L103" s="72"/>
      <c r="M103" s="72"/>
      <c r="N103" s="72"/>
      <c r="O103" s="72"/>
    </row>
    <row r="104">
      <c r="C104" s="73" t="s">
        <v>227</v>
      </c>
      <c r="D104" s="17"/>
      <c r="E104" s="72" t="s">
        <v>87</v>
      </c>
      <c r="F104" s="72" t="s">
        <v>88</v>
      </c>
      <c r="G104" s="72">
        <v>1.0</v>
      </c>
      <c r="H104" s="72"/>
      <c r="J104" s="72"/>
      <c r="K104" s="72"/>
      <c r="L104" s="72"/>
      <c r="M104" s="72"/>
      <c r="N104" s="72"/>
      <c r="O104" s="72"/>
    </row>
    <row r="105">
      <c r="C105" s="73" t="s">
        <v>80</v>
      </c>
      <c r="D105" s="17"/>
      <c r="E105" s="72" t="s">
        <v>222</v>
      </c>
      <c r="F105" s="72" t="s">
        <v>78</v>
      </c>
      <c r="G105" s="72">
        <v>1.0</v>
      </c>
      <c r="H105" s="72"/>
      <c r="J105" s="28" t="s">
        <v>58</v>
      </c>
      <c r="K105" s="16"/>
      <c r="L105" s="16"/>
      <c r="M105" s="16"/>
      <c r="N105" s="16"/>
      <c r="O105" s="17"/>
    </row>
    <row r="106">
      <c r="C106" s="73" t="s">
        <v>646</v>
      </c>
      <c r="D106" s="17"/>
      <c r="E106" s="72" t="s">
        <v>87</v>
      </c>
      <c r="F106" s="72" t="s">
        <v>914</v>
      </c>
      <c r="G106" s="72">
        <v>1.0</v>
      </c>
      <c r="H106" s="72"/>
      <c r="J106" s="28" t="s">
        <v>14</v>
      </c>
      <c r="K106" s="16"/>
      <c r="L106" s="16"/>
      <c r="M106" s="16"/>
      <c r="N106" s="16"/>
      <c r="O106" s="17"/>
    </row>
    <row r="107">
      <c r="C107" s="73" t="s">
        <v>1054</v>
      </c>
      <c r="D107" s="17"/>
      <c r="E107" s="72" t="s">
        <v>168</v>
      </c>
      <c r="F107" s="72" t="s">
        <v>78</v>
      </c>
      <c r="G107" s="72">
        <v>1.0</v>
      </c>
      <c r="H107" s="72"/>
      <c r="J107" s="28" t="s">
        <v>60</v>
      </c>
      <c r="K107" s="17"/>
      <c r="L107" s="30" t="s">
        <v>16</v>
      </c>
      <c r="M107" s="30" t="s">
        <v>17</v>
      </c>
      <c r="N107" s="30" t="s">
        <v>18</v>
      </c>
      <c r="O107" s="30" t="s">
        <v>19</v>
      </c>
    </row>
    <row r="108">
      <c r="C108" s="73" t="s">
        <v>1055</v>
      </c>
      <c r="D108" s="17"/>
      <c r="E108" s="72" t="s">
        <v>168</v>
      </c>
      <c r="F108" s="72" t="s">
        <v>78</v>
      </c>
      <c r="G108" s="72">
        <v>1.0</v>
      </c>
      <c r="H108" s="72"/>
      <c r="J108" s="20" t="s">
        <v>1056</v>
      </c>
      <c r="K108" s="17"/>
      <c r="L108" s="200" t="s">
        <v>1057</v>
      </c>
      <c r="M108" s="16"/>
      <c r="N108" s="16"/>
      <c r="O108" s="17"/>
    </row>
    <row r="109">
      <c r="C109" s="73" t="s">
        <v>103</v>
      </c>
      <c r="D109" s="17"/>
      <c r="E109" s="72" t="s">
        <v>222</v>
      </c>
      <c r="F109" s="72" t="s">
        <v>78</v>
      </c>
      <c r="G109" s="72">
        <v>1.0</v>
      </c>
      <c r="H109" s="72"/>
      <c r="J109" s="4"/>
      <c r="K109" s="4"/>
      <c r="L109" s="4"/>
      <c r="M109" s="4"/>
      <c r="N109" s="4"/>
      <c r="O109" s="4"/>
    </row>
    <row r="110">
      <c r="C110" s="72" t="s">
        <v>103</v>
      </c>
      <c r="D110" s="72"/>
      <c r="E110" s="72" t="s">
        <v>1058</v>
      </c>
      <c r="F110" s="72" t="s">
        <v>1059</v>
      </c>
      <c r="G110" s="72">
        <v>1.0</v>
      </c>
      <c r="H110" s="72"/>
      <c r="J110" s="4"/>
      <c r="K110" s="4"/>
      <c r="L110" s="4"/>
      <c r="M110" s="4"/>
      <c r="N110" s="4"/>
      <c r="O110" s="4"/>
    </row>
    <row r="111">
      <c r="C111" s="73" t="s">
        <v>1060</v>
      </c>
      <c r="D111" s="17"/>
      <c r="E111" s="72" t="s">
        <v>87</v>
      </c>
      <c r="F111" s="72">
        <v>5034.0</v>
      </c>
      <c r="G111" s="72">
        <v>2.0</v>
      </c>
      <c r="H111" s="72"/>
      <c r="J111" s="25" t="s">
        <v>1061</v>
      </c>
      <c r="K111" s="17"/>
      <c r="L111" s="4" t="s">
        <v>868</v>
      </c>
      <c r="M111" s="4" t="s">
        <v>1062</v>
      </c>
      <c r="N111" s="4">
        <v>1.0</v>
      </c>
      <c r="O111" s="4"/>
    </row>
    <row r="112">
      <c r="C112" s="73" t="s">
        <v>1063</v>
      </c>
      <c r="D112" s="17"/>
      <c r="E112" s="72" t="s">
        <v>289</v>
      </c>
      <c r="F112" s="72" t="s">
        <v>78</v>
      </c>
      <c r="G112" s="72">
        <v>2.0</v>
      </c>
      <c r="H112" s="72"/>
      <c r="J112" s="25" t="s">
        <v>1064</v>
      </c>
      <c r="K112" s="17"/>
      <c r="L112" s="4" t="s">
        <v>75</v>
      </c>
      <c r="M112" s="4" t="s">
        <v>1065</v>
      </c>
      <c r="N112" s="4">
        <v>1.0</v>
      </c>
      <c r="O112" s="4"/>
    </row>
    <row r="113">
      <c r="C113" s="73" t="s">
        <v>1066</v>
      </c>
      <c r="D113" s="17"/>
      <c r="E113" s="72" t="s">
        <v>87</v>
      </c>
      <c r="F113" s="72">
        <v>7072.0</v>
      </c>
      <c r="G113" s="72">
        <v>3.0</v>
      </c>
      <c r="H113" s="72"/>
      <c r="J113" s="25" t="s">
        <v>1067</v>
      </c>
      <c r="K113" s="17"/>
      <c r="L113" s="4" t="s">
        <v>75</v>
      </c>
      <c r="M113" s="4" t="s">
        <v>1068</v>
      </c>
      <c r="N113" s="4">
        <v>1.0</v>
      </c>
      <c r="O113" s="4"/>
    </row>
    <row r="114">
      <c r="C114" s="73" t="s">
        <v>1069</v>
      </c>
      <c r="D114" s="17"/>
      <c r="E114" s="72" t="s">
        <v>78</v>
      </c>
      <c r="F114" s="72" t="s">
        <v>78</v>
      </c>
      <c r="G114" s="72">
        <v>1.0</v>
      </c>
      <c r="H114" s="72"/>
      <c r="J114" s="25" t="s">
        <v>1070</v>
      </c>
      <c r="K114" s="17"/>
      <c r="L114" s="4" t="s">
        <v>78</v>
      </c>
      <c r="M114" s="4" t="s">
        <v>78</v>
      </c>
      <c r="N114" s="4">
        <v>1.0</v>
      </c>
      <c r="O114" s="4"/>
    </row>
    <row r="115">
      <c r="C115" s="73" t="s">
        <v>1069</v>
      </c>
      <c r="D115" s="17"/>
      <c r="E115" s="72" t="s">
        <v>285</v>
      </c>
      <c r="F115" s="72" t="s">
        <v>575</v>
      </c>
      <c r="G115" s="72">
        <v>2.0</v>
      </c>
      <c r="H115" s="72"/>
      <c r="J115" s="25" t="s">
        <v>1071</v>
      </c>
      <c r="K115" s="17"/>
      <c r="L115" s="4" t="s">
        <v>1072</v>
      </c>
      <c r="M115" s="4">
        <v>105.0</v>
      </c>
      <c r="N115" s="4">
        <v>1.0</v>
      </c>
      <c r="O115" s="4"/>
    </row>
    <row r="116">
      <c r="C116" s="5" t="s">
        <v>38</v>
      </c>
      <c r="D116" s="4"/>
      <c r="E116" s="4"/>
      <c r="F116" s="4"/>
      <c r="G116" s="4">
        <f>SUM(G81:G115)</f>
        <v>61</v>
      </c>
      <c r="H116" s="4"/>
      <c r="J116" s="25" t="s">
        <v>1073</v>
      </c>
      <c r="K116" s="17"/>
      <c r="L116" s="4" t="s">
        <v>858</v>
      </c>
      <c r="M116" s="4" t="s">
        <v>1074</v>
      </c>
      <c r="N116" s="4">
        <v>1.0</v>
      </c>
      <c r="O116" s="4"/>
    </row>
    <row r="117">
      <c r="C117" s="28" t="s">
        <v>58</v>
      </c>
      <c r="D117" s="16"/>
      <c r="E117" s="16"/>
      <c r="F117" s="16"/>
      <c r="G117" s="16"/>
      <c r="H117" s="17"/>
      <c r="J117" s="25" t="s">
        <v>1075</v>
      </c>
      <c r="K117" s="17"/>
      <c r="L117" s="4" t="s">
        <v>78</v>
      </c>
      <c r="M117" s="4" t="s">
        <v>1076</v>
      </c>
      <c r="N117" s="4">
        <v>1.0</v>
      </c>
      <c r="O117" s="4"/>
    </row>
    <row r="118">
      <c r="C118" s="28" t="s">
        <v>14</v>
      </c>
      <c r="D118" s="16"/>
      <c r="E118" s="16"/>
      <c r="F118" s="16"/>
      <c r="G118" s="16"/>
      <c r="H118" s="17"/>
      <c r="J118" s="25" t="s">
        <v>1077</v>
      </c>
      <c r="K118" s="17"/>
      <c r="L118" s="4" t="s">
        <v>845</v>
      </c>
      <c r="M118" s="4"/>
      <c r="N118" s="4">
        <v>1.0</v>
      </c>
      <c r="O118" s="4"/>
    </row>
    <row r="119">
      <c r="C119" s="117" t="s">
        <v>60</v>
      </c>
      <c r="D119" s="79"/>
      <c r="E119" s="118" t="s">
        <v>16</v>
      </c>
      <c r="F119" s="118" t="s">
        <v>17</v>
      </c>
      <c r="G119" s="118" t="s">
        <v>18</v>
      </c>
      <c r="H119" s="118" t="s">
        <v>19</v>
      </c>
      <c r="J119" s="25" t="s">
        <v>1078</v>
      </c>
      <c r="K119" s="17"/>
      <c r="L119" s="4" t="s">
        <v>1079</v>
      </c>
      <c r="M119" s="46">
        <v>20003.0</v>
      </c>
      <c r="N119" s="4">
        <v>1.0</v>
      </c>
      <c r="O119" s="4" t="s">
        <v>1080</v>
      </c>
    </row>
    <row r="120">
      <c r="C120" s="117" t="s">
        <v>1081</v>
      </c>
      <c r="D120" s="79"/>
      <c r="E120" s="119" t="s">
        <v>638</v>
      </c>
      <c r="F120" s="34"/>
      <c r="G120" s="34"/>
      <c r="H120" s="79"/>
      <c r="J120" s="25" t="s">
        <v>1082</v>
      </c>
      <c r="K120" s="17"/>
      <c r="L120" s="4" t="s">
        <v>868</v>
      </c>
      <c r="M120" s="4" t="s">
        <v>78</v>
      </c>
      <c r="N120" s="4">
        <v>2.0</v>
      </c>
      <c r="O120" s="4"/>
    </row>
    <row r="121">
      <c r="C121" s="78" t="s">
        <v>601</v>
      </c>
      <c r="D121" s="79"/>
      <c r="E121" s="80" t="s">
        <v>78</v>
      </c>
      <c r="F121" s="80" t="s">
        <v>78</v>
      </c>
      <c r="G121" s="81">
        <v>1.0</v>
      </c>
      <c r="H121" s="80"/>
      <c r="J121" s="25" t="s">
        <v>1083</v>
      </c>
      <c r="K121" s="17"/>
      <c r="L121" s="4" t="s">
        <v>78</v>
      </c>
      <c r="M121" s="4" t="s">
        <v>78</v>
      </c>
      <c r="N121" s="4">
        <v>1.0</v>
      </c>
      <c r="O121" s="4"/>
    </row>
    <row r="122">
      <c r="C122" s="78" t="s">
        <v>1084</v>
      </c>
      <c r="D122" s="79"/>
      <c r="E122" s="80" t="s">
        <v>168</v>
      </c>
      <c r="F122" s="80" t="s">
        <v>1085</v>
      </c>
      <c r="G122" s="81">
        <v>1.0</v>
      </c>
      <c r="H122" s="80"/>
      <c r="J122" s="25" t="s">
        <v>1086</v>
      </c>
      <c r="K122" s="17"/>
      <c r="L122" s="4" t="s">
        <v>78</v>
      </c>
      <c r="M122" s="4" t="s">
        <v>78</v>
      </c>
      <c r="N122" s="4">
        <v>1.0</v>
      </c>
      <c r="O122" s="4"/>
    </row>
    <row r="123">
      <c r="C123" s="78" t="s">
        <v>1087</v>
      </c>
      <c r="D123" s="79"/>
      <c r="E123" s="80" t="s">
        <v>168</v>
      </c>
      <c r="F123" s="80" t="s">
        <v>1088</v>
      </c>
      <c r="G123" s="81">
        <v>2.0</v>
      </c>
      <c r="H123" s="80"/>
      <c r="J123" s="25" t="s">
        <v>1089</v>
      </c>
      <c r="K123" s="17"/>
      <c r="L123" s="4" t="s">
        <v>858</v>
      </c>
      <c r="M123" s="4" t="s">
        <v>1090</v>
      </c>
      <c r="N123" s="4">
        <v>1.0</v>
      </c>
      <c r="O123" s="4"/>
    </row>
    <row r="124">
      <c r="C124" s="78" t="s">
        <v>1091</v>
      </c>
      <c r="D124" s="79"/>
      <c r="E124" s="80" t="s">
        <v>78</v>
      </c>
      <c r="F124" s="80" t="s">
        <v>78</v>
      </c>
      <c r="G124" s="81">
        <v>1.0</v>
      </c>
      <c r="H124" s="80"/>
      <c r="J124" s="20" t="s">
        <v>38</v>
      </c>
      <c r="K124" s="17"/>
      <c r="L124" s="4"/>
      <c r="M124" s="4"/>
      <c r="N124" s="4">
        <f>SUM(N111:N123)</f>
        <v>14</v>
      </c>
      <c r="O124" s="4"/>
    </row>
    <row r="125">
      <c r="C125" s="78" t="s">
        <v>1092</v>
      </c>
      <c r="D125" s="79"/>
      <c r="E125" s="80" t="s">
        <v>168</v>
      </c>
      <c r="F125" s="80" t="s">
        <v>1093</v>
      </c>
      <c r="G125" s="81">
        <v>2.0</v>
      </c>
      <c r="H125" s="80"/>
    </row>
    <row r="126">
      <c r="C126" s="78" t="s">
        <v>1094</v>
      </c>
      <c r="D126" s="79"/>
      <c r="E126" s="80" t="s">
        <v>197</v>
      </c>
      <c r="F126" s="80" t="s">
        <v>1095</v>
      </c>
      <c r="G126" s="81">
        <v>1.0</v>
      </c>
      <c r="H126" s="80"/>
    </row>
    <row r="127">
      <c r="C127" s="78" t="s">
        <v>1094</v>
      </c>
      <c r="D127" s="79"/>
      <c r="E127" s="80" t="s">
        <v>75</v>
      </c>
      <c r="F127" s="80" t="s">
        <v>1096</v>
      </c>
      <c r="G127" s="81">
        <v>1.0</v>
      </c>
      <c r="H127" s="80"/>
      <c r="J127" s="28" t="s">
        <v>58</v>
      </c>
      <c r="K127" s="16"/>
      <c r="L127" s="16"/>
      <c r="M127" s="16"/>
      <c r="N127" s="16"/>
      <c r="O127" s="17"/>
    </row>
    <row r="128">
      <c r="C128" s="78" t="s">
        <v>1097</v>
      </c>
      <c r="D128" s="79"/>
      <c r="E128" s="80" t="s">
        <v>78</v>
      </c>
      <c r="F128" s="123" t="s">
        <v>78</v>
      </c>
      <c r="G128" s="81">
        <v>1.0</v>
      </c>
      <c r="H128" s="80"/>
      <c r="J128" s="28" t="s">
        <v>14</v>
      </c>
      <c r="K128" s="16"/>
      <c r="L128" s="16"/>
      <c r="M128" s="16"/>
      <c r="N128" s="16"/>
      <c r="O128" s="17"/>
    </row>
    <row r="129">
      <c r="C129" s="78" t="s">
        <v>1097</v>
      </c>
      <c r="D129" s="79"/>
      <c r="E129" s="80" t="s">
        <v>197</v>
      </c>
      <c r="F129" s="80" t="s">
        <v>1098</v>
      </c>
      <c r="G129" s="81">
        <v>1.0</v>
      </c>
      <c r="H129" s="80"/>
      <c r="J129" s="28" t="s">
        <v>60</v>
      </c>
      <c r="K129" s="17"/>
      <c r="L129" s="30" t="s">
        <v>16</v>
      </c>
      <c r="M129" s="30" t="s">
        <v>17</v>
      </c>
      <c r="N129" s="30" t="s">
        <v>18</v>
      </c>
      <c r="O129" s="30" t="s">
        <v>19</v>
      </c>
    </row>
    <row r="130">
      <c r="C130" s="78" t="s">
        <v>1099</v>
      </c>
      <c r="D130" s="79"/>
      <c r="E130" s="80"/>
      <c r="F130" s="80" t="s">
        <v>1100</v>
      </c>
      <c r="G130" s="81"/>
      <c r="H130" s="80" t="s">
        <v>212</v>
      </c>
      <c r="J130" s="202" t="s">
        <v>1101</v>
      </c>
      <c r="K130" s="17"/>
      <c r="L130" s="218" t="s">
        <v>1102</v>
      </c>
      <c r="M130" s="16"/>
      <c r="N130" s="16"/>
      <c r="O130" s="17"/>
    </row>
    <row r="131">
      <c r="C131" s="78" t="s">
        <v>80</v>
      </c>
      <c r="D131" s="79"/>
      <c r="E131" s="80" t="s">
        <v>222</v>
      </c>
      <c r="F131" s="80" t="s">
        <v>78</v>
      </c>
      <c r="G131" s="81">
        <v>1.0</v>
      </c>
      <c r="H131" s="80"/>
      <c r="J131" s="73" t="s">
        <v>1103</v>
      </c>
      <c r="K131" s="17"/>
      <c r="L131" s="72" t="s">
        <v>1104</v>
      </c>
      <c r="M131" s="72">
        <v>138717.0</v>
      </c>
      <c r="N131" s="72">
        <v>2.0</v>
      </c>
      <c r="O131" s="72"/>
    </row>
    <row r="132">
      <c r="C132" s="78" t="s">
        <v>1105</v>
      </c>
      <c r="D132" s="79"/>
      <c r="E132" s="80" t="s">
        <v>78</v>
      </c>
      <c r="F132" s="80" t="s">
        <v>78</v>
      </c>
      <c r="G132" s="81">
        <v>2.0</v>
      </c>
      <c r="H132" s="80"/>
      <c r="J132" s="73" t="s">
        <v>1106</v>
      </c>
      <c r="K132" s="17"/>
      <c r="L132" s="72" t="s">
        <v>1107</v>
      </c>
      <c r="M132" s="72">
        <v>137017.0</v>
      </c>
      <c r="N132" s="72">
        <v>1.0</v>
      </c>
      <c r="O132" s="72"/>
    </row>
    <row r="133">
      <c r="C133" s="78" t="s">
        <v>1108</v>
      </c>
      <c r="D133" s="79"/>
      <c r="E133" s="80" t="s">
        <v>78</v>
      </c>
      <c r="F133" s="80" t="s">
        <v>78</v>
      </c>
      <c r="G133" s="81">
        <v>1.0</v>
      </c>
      <c r="H133" s="80"/>
      <c r="J133" s="73" t="s">
        <v>1109</v>
      </c>
      <c r="K133" s="17"/>
      <c r="L133" s="72" t="s">
        <v>1110</v>
      </c>
      <c r="M133" s="72">
        <v>139167.0</v>
      </c>
      <c r="N133" s="72">
        <v>1.0</v>
      </c>
      <c r="O133" s="72"/>
    </row>
    <row r="134">
      <c r="C134" s="78" t="s">
        <v>227</v>
      </c>
      <c r="D134" s="79"/>
      <c r="E134" s="80" t="s">
        <v>168</v>
      </c>
      <c r="F134" s="80" t="s">
        <v>1111</v>
      </c>
      <c r="G134" s="81">
        <v>1.0</v>
      </c>
      <c r="H134" s="80"/>
      <c r="I134" s="106"/>
      <c r="J134" s="73" t="s">
        <v>1112</v>
      </c>
      <c r="K134" s="17"/>
      <c r="L134" s="72" t="s">
        <v>1113</v>
      </c>
      <c r="M134" s="219">
        <v>138087.0</v>
      </c>
      <c r="N134" s="72">
        <v>1.0</v>
      </c>
      <c r="O134" s="72"/>
    </row>
    <row r="135">
      <c r="C135" s="78" t="s">
        <v>1114</v>
      </c>
      <c r="D135" s="79"/>
      <c r="E135" s="80" t="s">
        <v>78</v>
      </c>
      <c r="F135" s="80" t="s">
        <v>78</v>
      </c>
      <c r="G135" s="81">
        <v>1.0</v>
      </c>
      <c r="H135" s="80"/>
      <c r="I135" s="106"/>
      <c r="J135" s="73" t="s">
        <v>1115</v>
      </c>
      <c r="K135" s="17"/>
      <c r="L135" s="72" t="s">
        <v>1116</v>
      </c>
      <c r="M135" s="72">
        <v>138725.0</v>
      </c>
      <c r="N135" s="72">
        <v>1.0</v>
      </c>
      <c r="O135" s="72"/>
    </row>
    <row r="136">
      <c r="C136" s="78" t="s">
        <v>680</v>
      </c>
      <c r="D136" s="79"/>
      <c r="E136" s="80" t="s">
        <v>84</v>
      </c>
      <c r="F136" s="80" t="s">
        <v>78</v>
      </c>
      <c r="G136" s="81">
        <v>1.0</v>
      </c>
      <c r="H136" s="80"/>
      <c r="J136" s="73" t="s">
        <v>1115</v>
      </c>
      <c r="K136" s="17"/>
      <c r="L136" s="72" t="s">
        <v>1116</v>
      </c>
      <c r="M136" s="72">
        <v>137687.0</v>
      </c>
      <c r="N136" s="72">
        <v>1.0</v>
      </c>
      <c r="O136" s="72"/>
    </row>
    <row r="137">
      <c r="C137" s="78" t="s">
        <v>231</v>
      </c>
      <c r="D137" s="79"/>
      <c r="E137" s="80" t="s">
        <v>84</v>
      </c>
      <c r="F137" s="80" t="s">
        <v>78</v>
      </c>
      <c r="G137" s="81">
        <v>1.0</v>
      </c>
      <c r="H137" s="80"/>
      <c r="J137" s="73" t="s">
        <v>1117</v>
      </c>
      <c r="K137" s="17"/>
      <c r="L137" s="72" t="s">
        <v>1118</v>
      </c>
      <c r="M137" s="72">
        <v>138708.0</v>
      </c>
      <c r="N137" s="72">
        <v>1.0</v>
      </c>
      <c r="O137" s="72"/>
    </row>
    <row r="138">
      <c r="C138" s="78" t="s">
        <v>196</v>
      </c>
      <c r="D138" s="79"/>
      <c r="E138" s="220" t="s">
        <v>168</v>
      </c>
      <c r="F138" s="91" t="s">
        <v>1119</v>
      </c>
      <c r="G138" s="221">
        <v>2.0</v>
      </c>
      <c r="H138" s="80"/>
      <c r="J138" s="73" t="s">
        <v>1120</v>
      </c>
      <c r="K138" s="17"/>
      <c r="L138" s="72" t="s">
        <v>1121</v>
      </c>
      <c r="M138" s="72">
        <v>138938.0</v>
      </c>
      <c r="N138" s="72">
        <v>1.0</v>
      </c>
      <c r="O138" s="72"/>
    </row>
    <row r="139">
      <c r="C139" s="116" t="s">
        <v>38</v>
      </c>
      <c r="D139" s="17"/>
      <c r="E139" s="222"/>
      <c r="F139" s="222"/>
      <c r="G139" s="222">
        <f>SUM(G121:G138)</f>
        <v>21</v>
      </c>
      <c r="H139" s="223"/>
      <c r="J139" s="73"/>
      <c r="K139" s="17"/>
      <c r="L139" s="72"/>
      <c r="M139" s="72"/>
      <c r="N139" s="72"/>
      <c r="O139" s="72"/>
    </row>
    <row r="140">
      <c r="J140" s="116" t="s">
        <v>38</v>
      </c>
      <c r="K140" s="17"/>
      <c r="L140" s="72"/>
      <c r="M140" s="72"/>
      <c r="N140" s="72">
        <v>9.0</v>
      </c>
      <c r="O140" s="72"/>
    </row>
    <row r="141">
      <c r="C141" s="28" t="s">
        <v>58</v>
      </c>
      <c r="D141" s="16"/>
      <c r="E141" s="16"/>
      <c r="F141" s="16"/>
      <c r="G141" s="16"/>
      <c r="H141" s="17"/>
    </row>
    <row r="142">
      <c r="C142" s="28" t="s">
        <v>14</v>
      </c>
      <c r="D142" s="16"/>
      <c r="E142" s="16"/>
      <c r="F142" s="16"/>
      <c r="G142" s="16"/>
      <c r="H142" s="17"/>
    </row>
    <row r="143">
      <c r="C143" s="117" t="s">
        <v>60</v>
      </c>
      <c r="D143" s="79"/>
      <c r="E143" s="118" t="s">
        <v>16</v>
      </c>
      <c r="F143" s="118" t="s">
        <v>17</v>
      </c>
      <c r="G143" s="118" t="s">
        <v>18</v>
      </c>
      <c r="H143" s="119" t="s">
        <v>19</v>
      </c>
      <c r="J143" s="28" t="s">
        <v>58</v>
      </c>
      <c r="K143" s="16"/>
      <c r="L143" s="16"/>
      <c r="M143" s="16"/>
      <c r="N143" s="16"/>
      <c r="O143" s="17"/>
    </row>
    <row r="144">
      <c r="C144" s="117" t="s">
        <v>1122</v>
      </c>
      <c r="D144" s="79"/>
      <c r="E144" s="224" t="s">
        <v>638</v>
      </c>
      <c r="F144" s="34"/>
      <c r="G144" s="34"/>
      <c r="H144" s="79"/>
      <c r="J144" s="28" t="s">
        <v>14</v>
      </c>
      <c r="K144" s="16"/>
      <c r="L144" s="16"/>
      <c r="M144" s="16"/>
      <c r="N144" s="16"/>
      <c r="O144" s="17"/>
    </row>
    <row r="145">
      <c r="C145" s="225" t="s">
        <v>1123</v>
      </c>
      <c r="D145" s="79"/>
      <c r="E145" s="226" t="s">
        <v>155</v>
      </c>
      <c r="F145" s="226" t="s">
        <v>1124</v>
      </c>
      <c r="G145" s="227">
        <v>1.0</v>
      </c>
      <c r="H145" s="224"/>
      <c r="I145" s="106"/>
      <c r="J145" s="57" t="s">
        <v>60</v>
      </c>
      <c r="K145" s="17"/>
      <c r="L145" s="58" t="s">
        <v>16</v>
      </c>
      <c r="M145" s="58" t="s">
        <v>17</v>
      </c>
      <c r="N145" s="58" t="s">
        <v>18</v>
      </c>
      <c r="O145" s="58" t="s">
        <v>19</v>
      </c>
    </row>
    <row r="146">
      <c r="C146" s="225" t="s">
        <v>269</v>
      </c>
      <c r="D146" s="79"/>
      <c r="E146" s="226" t="s">
        <v>78</v>
      </c>
      <c r="F146" s="226" t="s">
        <v>78</v>
      </c>
      <c r="G146" s="227">
        <v>1.0</v>
      </c>
      <c r="H146" s="224"/>
      <c r="I146" s="106"/>
      <c r="J146" s="228" t="s">
        <v>1125</v>
      </c>
      <c r="K146" s="17"/>
      <c r="L146" s="18" t="s">
        <v>1126</v>
      </c>
      <c r="M146" s="16"/>
      <c r="N146" s="16"/>
      <c r="O146" s="17"/>
    </row>
    <row r="147">
      <c r="C147" s="225" t="s">
        <v>1127</v>
      </c>
      <c r="D147" s="79"/>
      <c r="E147" s="226" t="s">
        <v>78</v>
      </c>
      <c r="F147" s="226" t="s">
        <v>1128</v>
      </c>
      <c r="G147" s="227">
        <v>1.0</v>
      </c>
      <c r="H147" s="224"/>
      <c r="J147" s="39" t="s">
        <v>192</v>
      </c>
      <c r="K147" s="17"/>
      <c r="L147" s="40" t="s">
        <v>993</v>
      </c>
      <c r="M147" s="40" t="s">
        <v>993</v>
      </c>
      <c r="N147" s="40">
        <v>2.0</v>
      </c>
      <c r="O147" s="40"/>
    </row>
    <row r="148">
      <c r="C148" s="217" t="s">
        <v>38</v>
      </c>
      <c r="D148" s="17"/>
      <c r="E148" s="229"/>
      <c r="F148" s="229"/>
      <c r="G148" s="229">
        <v>3.0</v>
      </c>
      <c r="H148" s="181"/>
      <c r="J148" s="39" t="s">
        <v>1129</v>
      </c>
      <c r="K148" s="17"/>
      <c r="L148" s="40" t="s">
        <v>995</v>
      </c>
      <c r="M148" s="40" t="s">
        <v>995</v>
      </c>
      <c r="N148" s="40">
        <v>3.0</v>
      </c>
      <c r="O148" s="40"/>
    </row>
    <row r="149">
      <c r="J149" s="20" t="s">
        <v>38</v>
      </c>
      <c r="K149" s="17"/>
      <c r="L149" s="4"/>
      <c r="M149" s="4"/>
      <c r="N149" s="4">
        <v>5.0</v>
      </c>
      <c r="O149" s="4"/>
    </row>
    <row r="151">
      <c r="C151" s="18" t="s">
        <v>58</v>
      </c>
      <c r="D151" s="16"/>
      <c r="E151" s="16"/>
      <c r="F151" s="16"/>
      <c r="G151" s="16"/>
      <c r="H151" s="17"/>
    </row>
    <row r="152">
      <c r="C152" s="18" t="s">
        <v>14</v>
      </c>
      <c r="D152" s="16"/>
      <c r="E152" s="16"/>
      <c r="F152" s="16"/>
      <c r="G152" s="16"/>
      <c r="H152" s="17"/>
    </row>
    <row r="153">
      <c r="C153" s="37" t="s">
        <v>60</v>
      </c>
      <c r="D153" s="17"/>
      <c r="E153" s="38" t="s">
        <v>16</v>
      </c>
      <c r="F153" s="38" t="s">
        <v>17</v>
      </c>
      <c r="G153" s="38" t="s">
        <v>18</v>
      </c>
      <c r="H153" s="38" t="s">
        <v>19</v>
      </c>
    </row>
    <row r="154">
      <c r="C154" s="32" t="s">
        <v>1130</v>
      </c>
      <c r="D154" s="17"/>
      <c r="E154" s="18"/>
      <c r="F154" s="16"/>
      <c r="G154" s="16"/>
      <c r="H154" s="17"/>
    </row>
    <row r="155">
      <c r="C155" s="39" t="s">
        <v>1069</v>
      </c>
      <c r="D155" s="17"/>
      <c r="E155" s="40" t="s">
        <v>87</v>
      </c>
      <c r="F155" s="40" t="s">
        <v>159</v>
      </c>
      <c r="G155" s="40">
        <v>1.0</v>
      </c>
      <c r="H155" s="40"/>
    </row>
    <row r="156">
      <c r="C156" s="39" t="s">
        <v>175</v>
      </c>
      <c r="D156" s="17"/>
      <c r="E156" s="40" t="s">
        <v>87</v>
      </c>
      <c r="F156" s="40" t="s">
        <v>1131</v>
      </c>
      <c r="G156" s="40">
        <f>SUM(G155)</f>
        <v>1</v>
      </c>
      <c r="H156" s="40"/>
    </row>
    <row r="158">
      <c r="C158" s="18" t="s">
        <v>58</v>
      </c>
      <c r="D158" s="16"/>
      <c r="E158" s="16"/>
      <c r="F158" s="16"/>
      <c r="G158" s="16"/>
      <c r="H158" s="17"/>
    </row>
    <row r="159">
      <c r="C159" s="18" t="s">
        <v>14</v>
      </c>
      <c r="D159" s="16"/>
      <c r="E159" s="16"/>
      <c r="F159" s="16"/>
      <c r="G159" s="16"/>
      <c r="H159" s="17"/>
    </row>
    <row r="160">
      <c r="C160" s="37" t="s">
        <v>60</v>
      </c>
      <c r="D160" s="17"/>
      <c r="E160" s="38" t="s">
        <v>16</v>
      </c>
      <c r="F160" s="38" t="s">
        <v>17</v>
      </c>
      <c r="G160" s="38" t="s">
        <v>18</v>
      </c>
      <c r="H160" s="38" t="s">
        <v>19</v>
      </c>
    </row>
    <row r="161">
      <c r="C161" s="228" t="s">
        <v>1132</v>
      </c>
      <c r="D161" s="17"/>
      <c r="E161" s="18" t="s">
        <v>1126</v>
      </c>
      <c r="F161" s="16"/>
      <c r="G161" s="16"/>
      <c r="H161" s="17"/>
    </row>
    <row r="162">
      <c r="C162" s="39" t="s">
        <v>1069</v>
      </c>
      <c r="D162" s="17"/>
      <c r="E162" s="40" t="s">
        <v>87</v>
      </c>
      <c r="F162" s="40" t="s">
        <v>159</v>
      </c>
      <c r="G162" s="40">
        <v>1.0</v>
      </c>
      <c r="H162" s="40"/>
    </row>
    <row r="163">
      <c r="C163" s="39" t="s">
        <v>98</v>
      </c>
      <c r="D163" s="17"/>
      <c r="E163" s="40" t="s">
        <v>289</v>
      </c>
      <c r="F163" s="40" t="s">
        <v>1133</v>
      </c>
      <c r="G163" s="40">
        <f>SUM(G162)</f>
        <v>1</v>
      </c>
      <c r="H163" s="40"/>
    </row>
    <row r="164">
      <c r="C164" s="20" t="s">
        <v>38</v>
      </c>
      <c r="D164" s="17"/>
      <c r="E164" s="4"/>
      <c r="F164" s="4"/>
      <c r="G164" s="4">
        <v>2.0</v>
      </c>
      <c r="H164" s="4"/>
    </row>
    <row r="166">
      <c r="C166" s="18" t="s">
        <v>58</v>
      </c>
      <c r="D166" s="16"/>
      <c r="E166" s="16"/>
      <c r="F166" s="16"/>
      <c r="G166" s="16"/>
      <c r="H166" s="17"/>
    </row>
    <row r="167">
      <c r="C167" s="18" t="s">
        <v>14</v>
      </c>
      <c r="D167" s="16"/>
      <c r="E167" s="16"/>
      <c r="F167" s="16"/>
      <c r="G167" s="16"/>
      <c r="H167" s="17"/>
      <c r="I167" s="106"/>
    </row>
    <row r="168">
      <c r="C168" s="37" t="s">
        <v>60</v>
      </c>
      <c r="D168" s="17"/>
      <c r="E168" s="38" t="s">
        <v>16</v>
      </c>
      <c r="F168" s="38" t="s">
        <v>17</v>
      </c>
      <c r="G168" s="38" t="s">
        <v>18</v>
      </c>
      <c r="H168" s="38" t="s">
        <v>19</v>
      </c>
      <c r="I168" s="106"/>
      <c r="J168" s="28" t="s">
        <v>58</v>
      </c>
      <c r="K168" s="16"/>
      <c r="L168" s="16"/>
      <c r="M168" s="16"/>
      <c r="N168" s="16"/>
      <c r="O168" s="17"/>
    </row>
    <row r="169">
      <c r="C169" s="32" t="s">
        <v>1134</v>
      </c>
      <c r="D169" s="17"/>
      <c r="E169" s="18"/>
      <c r="F169" s="16"/>
      <c r="G169" s="16"/>
      <c r="H169" s="17"/>
      <c r="J169" s="28" t="s">
        <v>14</v>
      </c>
      <c r="K169" s="16"/>
      <c r="L169" s="16"/>
      <c r="M169" s="16"/>
      <c r="N169" s="16"/>
      <c r="O169" s="17"/>
    </row>
    <row r="170">
      <c r="C170" s="39" t="s">
        <v>310</v>
      </c>
      <c r="D170" s="17"/>
      <c r="E170" s="40" t="s">
        <v>78</v>
      </c>
      <c r="F170" s="40" t="s">
        <v>78</v>
      </c>
      <c r="G170" s="40">
        <v>2.0</v>
      </c>
      <c r="H170" s="40"/>
      <c r="J170" s="28" t="s">
        <v>60</v>
      </c>
      <c r="K170" s="17"/>
      <c r="L170" s="30" t="s">
        <v>16</v>
      </c>
      <c r="M170" s="30" t="s">
        <v>17</v>
      </c>
      <c r="N170" s="30" t="s">
        <v>18</v>
      </c>
      <c r="O170" s="30" t="s">
        <v>19</v>
      </c>
    </row>
    <row r="171">
      <c r="C171" s="39" t="s">
        <v>1135</v>
      </c>
      <c r="D171" s="17"/>
      <c r="E171" s="40" t="s">
        <v>78</v>
      </c>
      <c r="F171" s="40" t="s">
        <v>78</v>
      </c>
      <c r="G171" s="40">
        <v>2.0</v>
      </c>
      <c r="H171" s="40"/>
      <c r="J171" s="28" t="s">
        <v>1136</v>
      </c>
      <c r="K171" s="17"/>
      <c r="L171" s="28" t="s">
        <v>1137</v>
      </c>
      <c r="M171" s="16"/>
      <c r="N171" s="16"/>
      <c r="O171" s="17"/>
    </row>
    <row r="172">
      <c r="C172" s="25" t="s">
        <v>1069</v>
      </c>
      <c r="D172" s="17"/>
      <c r="E172" s="4" t="s">
        <v>78</v>
      </c>
      <c r="F172" s="4" t="s">
        <v>78</v>
      </c>
      <c r="G172" s="4">
        <v>1.0</v>
      </c>
      <c r="H172" s="4"/>
      <c r="J172" s="41" t="s">
        <v>724</v>
      </c>
      <c r="K172" s="17"/>
      <c r="L172" s="72" t="s">
        <v>78</v>
      </c>
      <c r="M172" s="92">
        <v>132.0</v>
      </c>
      <c r="N172" s="72">
        <v>1.0</v>
      </c>
      <c r="O172" s="72"/>
    </row>
    <row r="173">
      <c r="C173" s="20" t="s">
        <v>38</v>
      </c>
      <c r="D173" s="17"/>
      <c r="E173" s="4"/>
      <c r="F173" s="4"/>
      <c r="G173" s="4">
        <v>5.0</v>
      </c>
      <c r="H173" s="4"/>
      <c r="J173" s="41" t="s">
        <v>1138</v>
      </c>
      <c r="K173" s="17"/>
      <c r="L173" s="72" t="s">
        <v>78</v>
      </c>
      <c r="M173" s="72" t="s">
        <v>1139</v>
      </c>
      <c r="N173" s="72">
        <v>1.0</v>
      </c>
      <c r="O173" s="72" t="s">
        <v>212</v>
      </c>
    </row>
    <row r="174">
      <c r="J174" s="41" t="s">
        <v>337</v>
      </c>
      <c r="K174" s="17"/>
      <c r="L174" s="72" t="s">
        <v>1140</v>
      </c>
      <c r="M174" s="92" t="s">
        <v>1141</v>
      </c>
      <c r="N174" s="72">
        <v>1.0</v>
      </c>
      <c r="O174" s="72"/>
    </row>
    <row r="175">
      <c r="J175" s="41" t="s">
        <v>329</v>
      </c>
      <c r="K175" s="17"/>
      <c r="L175" s="72" t="s">
        <v>285</v>
      </c>
      <c r="M175" s="92">
        <v>14529.0</v>
      </c>
      <c r="N175" s="72">
        <v>1.0</v>
      </c>
      <c r="O175" s="72"/>
    </row>
    <row r="176">
      <c r="C176" s="18" t="s">
        <v>58</v>
      </c>
      <c r="D176" s="16"/>
      <c r="E176" s="16"/>
      <c r="F176" s="16"/>
      <c r="G176" s="16"/>
      <c r="H176" s="17"/>
      <c r="J176" s="41" t="s">
        <v>345</v>
      </c>
      <c r="K176" s="17"/>
      <c r="L176" s="72" t="s">
        <v>215</v>
      </c>
      <c r="M176" s="72" t="s">
        <v>78</v>
      </c>
      <c r="N176" s="72">
        <v>1.0</v>
      </c>
      <c r="O176" s="72"/>
    </row>
    <row r="177">
      <c r="C177" s="18" t="s">
        <v>14</v>
      </c>
      <c r="D177" s="16"/>
      <c r="E177" s="16"/>
      <c r="F177" s="16"/>
      <c r="G177" s="16"/>
      <c r="H177" s="17"/>
      <c r="J177" s="41" t="s">
        <v>347</v>
      </c>
      <c r="K177" s="17"/>
      <c r="L177" s="72" t="s">
        <v>87</v>
      </c>
      <c r="M177" s="72" t="s">
        <v>1142</v>
      </c>
      <c r="N177" s="72">
        <v>1.0</v>
      </c>
      <c r="O177" s="72"/>
    </row>
    <row r="178">
      <c r="C178" s="37" t="s">
        <v>60</v>
      </c>
      <c r="D178" s="17"/>
      <c r="E178" s="38" t="s">
        <v>16</v>
      </c>
      <c r="F178" s="38" t="s">
        <v>17</v>
      </c>
      <c r="G178" s="38" t="s">
        <v>18</v>
      </c>
      <c r="H178" s="38" t="s">
        <v>19</v>
      </c>
      <c r="J178" s="41" t="s">
        <v>1143</v>
      </c>
      <c r="K178" s="17"/>
      <c r="L178" s="72" t="s">
        <v>1144</v>
      </c>
      <c r="M178" s="92">
        <v>861.0</v>
      </c>
      <c r="N178" s="72">
        <v>1.0</v>
      </c>
      <c r="O178" s="72"/>
    </row>
    <row r="179">
      <c r="C179" s="37" t="s">
        <v>1145</v>
      </c>
      <c r="D179" s="17"/>
      <c r="E179" s="108"/>
      <c r="F179" s="108"/>
      <c r="G179" s="108"/>
      <c r="H179" s="108"/>
      <c r="J179" s="41" t="s">
        <v>352</v>
      </c>
      <c r="K179" s="17"/>
      <c r="L179" s="72" t="s">
        <v>78</v>
      </c>
      <c r="M179" s="72" t="s">
        <v>1146</v>
      </c>
      <c r="N179" s="72">
        <v>1.0</v>
      </c>
      <c r="O179" s="72" t="s">
        <v>212</v>
      </c>
    </row>
    <row r="180">
      <c r="C180" s="87" t="s">
        <v>1147</v>
      </c>
      <c r="D180" s="17"/>
      <c r="E180" s="108" t="s">
        <v>78</v>
      </c>
      <c r="F180" s="108" t="s">
        <v>78</v>
      </c>
      <c r="G180" s="109">
        <v>1.0</v>
      </c>
      <c r="H180" s="108"/>
      <c r="J180" s="41" t="s">
        <v>1148</v>
      </c>
      <c r="K180" s="17"/>
      <c r="L180" s="72" t="s">
        <v>78</v>
      </c>
      <c r="M180" s="72" t="s">
        <v>78</v>
      </c>
      <c r="N180" s="72">
        <v>1.0</v>
      </c>
      <c r="O180" s="72" t="s">
        <v>212</v>
      </c>
    </row>
    <row r="181">
      <c r="C181" s="20" t="s">
        <v>38</v>
      </c>
      <c r="D181" s="17"/>
      <c r="E181" s="4"/>
      <c r="F181" s="4"/>
      <c r="G181" s="4">
        <v>1.0</v>
      </c>
      <c r="H181" s="4"/>
      <c r="J181" s="41" t="s">
        <v>323</v>
      </c>
      <c r="K181" s="17"/>
      <c r="L181" s="72" t="s">
        <v>78</v>
      </c>
      <c r="M181" s="92">
        <v>351.0</v>
      </c>
      <c r="N181" s="72">
        <v>1.0</v>
      </c>
      <c r="O181" s="72" t="s">
        <v>1149</v>
      </c>
    </row>
    <row r="182">
      <c r="J182" s="41" t="s">
        <v>327</v>
      </c>
      <c r="K182" s="17"/>
      <c r="L182" s="72" t="s">
        <v>215</v>
      </c>
      <c r="M182" s="72" t="s">
        <v>1150</v>
      </c>
      <c r="N182" s="72">
        <v>1.0</v>
      </c>
      <c r="O182" s="72"/>
    </row>
    <row r="183">
      <c r="C183" s="28" t="s">
        <v>58</v>
      </c>
      <c r="D183" s="16"/>
      <c r="E183" s="16"/>
      <c r="F183" s="16"/>
      <c r="G183" s="16"/>
      <c r="H183" s="17"/>
      <c r="J183" s="41" t="s">
        <v>1151</v>
      </c>
      <c r="K183" s="17"/>
      <c r="L183" s="72" t="s">
        <v>215</v>
      </c>
      <c r="M183" s="92" t="s">
        <v>1152</v>
      </c>
      <c r="N183" s="72">
        <v>1.0</v>
      </c>
      <c r="O183" s="72"/>
    </row>
    <row r="184">
      <c r="C184" s="28" t="s">
        <v>14</v>
      </c>
      <c r="D184" s="16"/>
      <c r="E184" s="16"/>
      <c r="F184" s="16"/>
      <c r="G184" s="16"/>
      <c r="H184" s="17"/>
      <c r="J184" s="41" t="s">
        <v>1153</v>
      </c>
      <c r="K184" s="17"/>
      <c r="L184" s="72" t="s">
        <v>78</v>
      </c>
      <c r="M184" s="92" t="s">
        <v>78</v>
      </c>
      <c r="N184" s="72">
        <v>1.0</v>
      </c>
      <c r="O184" s="72"/>
    </row>
    <row r="185">
      <c r="C185" s="28" t="s">
        <v>60</v>
      </c>
      <c r="D185" s="17"/>
      <c r="E185" s="30" t="s">
        <v>16</v>
      </c>
      <c r="F185" s="30" t="s">
        <v>17</v>
      </c>
      <c r="G185" s="30" t="s">
        <v>18</v>
      </c>
      <c r="H185" s="30" t="s">
        <v>19</v>
      </c>
      <c r="J185" s="41" t="s">
        <v>1154</v>
      </c>
      <c r="K185" s="17"/>
      <c r="L185" s="72" t="s">
        <v>78</v>
      </c>
      <c r="M185" s="92" t="s">
        <v>78</v>
      </c>
      <c r="N185" s="72">
        <v>1.0</v>
      </c>
      <c r="O185" s="72"/>
    </row>
    <row r="186">
      <c r="C186" s="28" t="s">
        <v>1155</v>
      </c>
      <c r="D186" s="17"/>
      <c r="E186" s="28" t="s">
        <v>921</v>
      </c>
      <c r="F186" s="16"/>
      <c r="G186" s="16"/>
      <c r="H186" s="17"/>
      <c r="J186" s="41" t="s">
        <v>1156</v>
      </c>
      <c r="K186" s="17"/>
      <c r="L186" s="72" t="s">
        <v>1157</v>
      </c>
      <c r="M186" s="92" t="s">
        <v>1158</v>
      </c>
      <c r="N186" s="72">
        <v>1.0</v>
      </c>
      <c r="O186" s="72"/>
    </row>
    <row r="187">
      <c r="C187" s="41" t="s">
        <v>227</v>
      </c>
      <c r="D187" s="17"/>
      <c r="E187" s="72" t="s">
        <v>78</v>
      </c>
      <c r="F187" s="72" t="s">
        <v>1159</v>
      </c>
      <c r="G187" s="72">
        <v>1.0</v>
      </c>
      <c r="H187" s="72"/>
      <c r="J187" s="41" t="s">
        <v>1160</v>
      </c>
      <c r="K187" s="17"/>
      <c r="L187" s="72" t="s">
        <v>1144</v>
      </c>
      <c r="M187" s="92">
        <v>404.0</v>
      </c>
      <c r="N187" s="72">
        <v>1.0</v>
      </c>
      <c r="O187" s="72" t="s">
        <v>1161</v>
      </c>
    </row>
    <row r="188">
      <c r="C188" s="42" t="s">
        <v>1162</v>
      </c>
      <c r="D188" s="42"/>
      <c r="E188" s="72" t="s">
        <v>78</v>
      </c>
      <c r="F188" s="72" t="s">
        <v>78</v>
      </c>
      <c r="G188" s="72">
        <v>1.0</v>
      </c>
      <c r="H188" s="72"/>
      <c r="J188" s="42"/>
      <c r="K188" s="42"/>
      <c r="L188" s="72"/>
      <c r="M188" s="92"/>
      <c r="N188" s="72"/>
      <c r="O188" s="72"/>
    </row>
    <row r="189">
      <c r="C189" s="41" t="s">
        <v>572</v>
      </c>
      <c r="D189" s="17"/>
      <c r="E189" s="72" t="s">
        <v>1163</v>
      </c>
      <c r="F189" s="72" t="s">
        <v>1164</v>
      </c>
      <c r="G189" s="72">
        <v>1.0</v>
      </c>
      <c r="H189" s="72"/>
      <c r="J189" s="41" t="s">
        <v>1165</v>
      </c>
      <c r="K189" s="17"/>
      <c r="L189" s="72" t="s">
        <v>1166</v>
      </c>
      <c r="M189" s="92" t="s">
        <v>1167</v>
      </c>
      <c r="N189" s="72">
        <v>1.0</v>
      </c>
      <c r="O189" s="72"/>
    </row>
    <row r="190">
      <c r="C190" s="41" t="s">
        <v>1168</v>
      </c>
      <c r="D190" s="17"/>
      <c r="E190" s="72" t="s">
        <v>1163</v>
      </c>
      <c r="F190" s="92" t="s">
        <v>1169</v>
      </c>
      <c r="G190" s="72">
        <v>2.0</v>
      </c>
      <c r="H190" s="72"/>
      <c r="J190" s="41" t="s">
        <v>1170</v>
      </c>
      <c r="K190" s="17"/>
      <c r="L190" s="72" t="s">
        <v>78</v>
      </c>
      <c r="M190" s="92" t="s">
        <v>78</v>
      </c>
      <c r="N190" s="72">
        <v>1.0</v>
      </c>
      <c r="O190" s="72"/>
    </row>
    <row r="191">
      <c r="C191" s="41" t="s">
        <v>412</v>
      </c>
      <c r="D191" s="17"/>
      <c r="E191" s="72" t="s">
        <v>78</v>
      </c>
      <c r="F191" s="72" t="s">
        <v>78</v>
      </c>
      <c r="G191" s="72">
        <v>1.0</v>
      </c>
      <c r="H191" s="72"/>
      <c r="J191" s="41" t="s">
        <v>1171</v>
      </c>
      <c r="K191" s="17"/>
      <c r="L191" s="72" t="s">
        <v>897</v>
      </c>
      <c r="M191" s="92" t="s">
        <v>78</v>
      </c>
      <c r="N191" s="72">
        <v>1.0</v>
      </c>
      <c r="O191" s="72"/>
    </row>
    <row r="192">
      <c r="C192" s="41" t="s">
        <v>1172</v>
      </c>
      <c r="D192" s="17"/>
      <c r="E192" s="72" t="s">
        <v>78</v>
      </c>
      <c r="F192" s="72" t="s">
        <v>78</v>
      </c>
      <c r="G192" s="72">
        <v>1.0</v>
      </c>
      <c r="H192" s="72"/>
      <c r="J192" s="41" t="s">
        <v>1173</v>
      </c>
      <c r="K192" s="17"/>
      <c r="L192" s="72" t="s">
        <v>751</v>
      </c>
      <c r="M192" s="92" t="s">
        <v>1174</v>
      </c>
      <c r="N192" s="72">
        <v>1.0</v>
      </c>
      <c r="O192" s="72"/>
    </row>
    <row r="193">
      <c r="C193" s="41" t="s">
        <v>1175</v>
      </c>
      <c r="D193" s="17"/>
      <c r="E193" s="72" t="s">
        <v>1163</v>
      </c>
      <c r="F193" s="72" t="s">
        <v>1176</v>
      </c>
      <c r="G193" s="72">
        <v>4.0</v>
      </c>
      <c r="H193" s="72" t="s">
        <v>1177</v>
      </c>
      <c r="J193" s="41" t="s">
        <v>1178</v>
      </c>
      <c r="K193" s="17"/>
      <c r="L193" s="72" t="s">
        <v>78</v>
      </c>
      <c r="M193" s="92" t="s">
        <v>1179</v>
      </c>
      <c r="N193" s="72">
        <v>2.0</v>
      </c>
      <c r="O193" s="72"/>
    </row>
    <row r="194">
      <c r="C194" s="41" t="s">
        <v>1180</v>
      </c>
      <c r="D194" s="17"/>
      <c r="E194" s="72" t="s">
        <v>1181</v>
      </c>
      <c r="F194" s="72" t="s">
        <v>1182</v>
      </c>
      <c r="G194" s="72">
        <v>2.0</v>
      </c>
      <c r="H194" s="72"/>
      <c r="J194" s="113" t="s">
        <v>38</v>
      </c>
      <c r="K194" s="17"/>
      <c r="L194" s="230">
        <f>SUM(N172:N193)</f>
        <v>22</v>
      </c>
      <c r="M194" s="16"/>
      <c r="N194" s="16"/>
      <c r="O194" s="17"/>
    </row>
    <row r="195">
      <c r="C195" s="41" t="s">
        <v>402</v>
      </c>
      <c r="D195" s="17"/>
      <c r="E195" s="72" t="s">
        <v>1163</v>
      </c>
      <c r="F195" s="92" t="s">
        <v>1183</v>
      </c>
      <c r="G195" s="72">
        <v>2.0</v>
      </c>
      <c r="H195" s="72"/>
    </row>
    <row r="196">
      <c r="C196" s="41" t="s">
        <v>550</v>
      </c>
      <c r="D196" s="17"/>
      <c r="E196" s="72" t="s">
        <v>1184</v>
      </c>
      <c r="F196" s="72" t="s">
        <v>1185</v>
      </c>
      <c r="G196" s="72">
        <v>2.0</v>
      </c>
      <c r="H196" s="72"/>
      <c r="J196" s="28" t="s">
        <v>58</v>
      </c>
      <c r="K196" s="16"/>
      <c r="L196" s="16"/>
      <c r="M196" s="16"/>
      <c r="N196" s="16"/>
      <c r="O196" s="17"/>
    </row>
    <row r="197">
      <c r="C197" s="41" t="s">
        <v>649</v>
      </c>
      <c r="D197" s="17"/>
      <c r="E197" s="72" t="s">
        <v>1163</v>
      </c>
      <c r="F197" s="72" t="s">
        <v>1186</v>
      </c>
      <c r="G197" s="72">
        <v>1.0</v>
      </c>
      <c r="H197" s="72"/>
      <c r="J197" s="28" t="s">
        <v>14</v>
      </c>
      <c r="K197" s="16"/>
      <c r="L197" s="16"/>
      <c r="M197" s="16"/>
      <c r="N197" s="16"/>
      <c r="O197" s="17"/>
    </row>
    <row r="198">
      <c r="C198" s="41" t="s">
        <v>510</v>
      </c>
      <c r="D198" s="17"/>
      <c r="E198" s="72" t="s">
        <v>1163</v>
      </c>
      <c r="F198" s="72" t="s">
        <v>78</v>
      </c>
      <c r="G198" s="72">
        <v>1.0</v>
      </c>
      <c r="H198" s="72"/>
      <c r="J198" s="57" t="s">
        <v>60</v>
      </c>
      <c r="K198" s="17"/>
      <c r="L198" s="58" t="s">
        <v>16</v>
      </c>
      <c r="M198" s="58" t="s">
        <v>17</v>
      </c>
      <c r="N198" s="58" t="s">
        <v>18</v>
      </c>
      <c r="O198" s="58" t="s">
        <v>19</v>
      </c>
    </row>
    <row r="199">
      <c r="C199" s="41" t="s">
        <v>1187</v>
      </c>
      <c r="D199" s="17"/>
      <c r="E199" s="72" t="s">
        <v>1163</v>
      </c>
      <c r="F199" s="72" t="s">
        <v>78</v>
      </c>
      <c r="G199" s="72">
        <v>1.0</v>
      </c>
      <c r="H199" s="72"/>
      <c r="J199" s="36" t="s">
        <v>1188</v>
      </c>
      <c r="K199" s="17"/>
      <c r="L199" s="28" t="s">
        <v>143</v>
      </c>
      <c r="M199" s="16"/>
      <c r="N199" s="16"/>
      <c r="O199" s="17"/>
    </row>
    <row r="200">
      <c r="C200" s="41" t="s">
        <v>1189</v>
      </c>
      <c r="D200" s="17"/>
      <c r="E200" s="72" t="s">
        <v>1190</v>
      </c>
      <c r="F200" s="92" t="s">
        <v>1191</v>
      </c>
      <c r="G200" s="72">
        <v>3.0</v>
      </c>
      <c r="H200" s="72" t="s">
        <v>1192</v>
      </c>
      <c r="J200" s="231" t="s">
        <v>1193</v>
      </c>
      <c r="K200" s="17"/>
      <c r="L200" s="232" t="s">
        <v>78</v>
      </c>
      <c r="M200" s="232" t="s">
        <v>78</v>
      </c>
      <c r="N200" s="232">
        <v>1.0</v>
      </c>
      <c r="O200" s="232"/>
    </row>
    <row r="201">
      <c r="C201" s="41" t="s">
        <v>1194</v>
      </c>
      <c r="D201" s="17"/>
      <c r="E201" s="72" t="s">
        <v>78</v>
      </c>
      <c r="F201" s="72" t="s">
        <v>78</v>
      </c>
      <c r="G201" s="72">
        <v>1.0</v>
      </c>
      <c r="H201" s="72"/>
      <c r="J201" s="231" t="s">
        <v>1195</v>
      </c>
      <c r="K201" s="17"/>
      <c r="L201" s="232" t="s">
        <v>78</v>
      </c>
      <c r="M201" s="232" t="s">
        <v>78</v>
      </c>
      <c r="N201" s="232">
        <v>1.0</v>
      </c>
      <c r="O201" s="232"/>
    </row>
    <row r="202">
      <c r="C202" s="41" t="s">
        <v>1196</v>
      </c>
      <c r="D202" s="17"/>
      <c r="E202" s="72" t="s">
        <v>222</v>
      </c>
      <c r="F202" s="72" t="s">
        <v>78</v>
      </c>
      <c r="G202" s="72">
        <v>1.0</v>
      </c>
      <c r="H202" s="72"/>
      <c r="J202" s="181" t="s">
        <v>157</v>
      </c>
      <c r="K202" s="17"/>
      <c r="L202" s="229" t="s">
        <v>84</v>
      </c>
      <c r="M202" s="229" t="s">
        <v>78</v>
      </c>
      <c r="N202" s="229">
        <v>1.0</v>
      </c>
      <c r="O202" s="229"/>
    </row>
    <row r="203">
      <c r="C203" s="41" t="s">
        <v>1197</v>
      </c>
      <c r="D203" s="17"/>
      <c r="E203" s="72" t="s">
        <v>78</v>
      </c>
      <c r="F203" s="72" t="s">
        <v>78</v>
      </c>
      <c r="G203" s="72">
        <v>2.0</v>
      </c>
      <c r="H203" s="72" t="s">
        <v>1198</v>
      </c>
      <c r="J203" s="181" t="s">
        <v>555</v>
      </c>
      <c r="K203" s="17"/>
      <c r="L203" s="229" t="s">
        <v>1199</v>
      </c>
      <c r="M203" s="229" t="s">
        <v>78</v>
      </c>
      <c r="N203" s="229">
        <v>1.0</v>
      </c>
      <c r="O203" s="229"/>
    </row>
    <row r="204">
      <c r="C204" s="41" t="s">
        <v>428</v>
      </c>
      <c r="D204" s="17"/>
      <c r="E204" s="72" t="s">
        <v>1200</v>
      </c>
      <c r="F204" s="72" t="s">
        <v>78</v>
      </c>
      <c r="G204" s="72">
        <v>1.0</v>
      </c>
      <c r="H204" s="72"/>
      <c r="J204" s="217" t="s">
        <v>38</v>
      </c>
      <c r="K204" s="17"/>
      <c r="L204" s="229"/>
      <c r="M204" s="229"/>
      <c r="N204" s="229">
        <f>SUM(N200:N203)</f>
        <v>4</v>
      </c>
      <c r="O204" s="229"/>
    </row>
    <row r="205">
      <c r="C205" s="41" t="s">
        <v>1201</v>
      </c>
      <c r="D205" s="17"/>
      <c r="E205" s="72" t="s">
        <v>1202</v>
      </c>
      <c r="F205" s="72" t="s">
        <v>78</v>
      </c>
      <c r="G205" s="72">
        <v>2.0</v>
      </c>
      <c r="H205" s="72" t="s">
        <v>1198</v>
      </c>
    </row>
    <row r="206">
      <c r="C206" s="41" t="s">
        <v>1203</v>
      </c>
      <c r="D206" s="17"/>
      <c r="E206" s="72" t="s">
        <v>1163</v>
      </c>
      <c r="F206" s="72" t="s">
        <v>1204</v>
      </c>
      <c r="G206" s="72">
        <v>1.0</v>
      </c>
      <c r="H206" s="72"/>
      <c r="J206" s="18" t="s">
        <v>58</v>
      </c>
      <c r="K206" s="16"/>
      <c r="L206" s="16"/>
      <c r="M206" s="16"/>
      <c r="N206" s="16"/>
      <c r="O206" s="17"/>
    </row>
    <row r="207">
      <c r="C207" s="41" t="s">
        <v>287</v>
      </c>
      <c r="D207" s="17"/>
      <c r="E207" s="72" t="s">
        <v>78</v>
      </c>
      <c r="F207" s="72" t="s">
        <v>78</v>
      </c>
      <c r="G207" s="72">
        <v>1.0</v>
      </c>
      <c r="H207" s="72"/>
      <c r="J207" s="18" t="s">
        <v>14</v>
      </c>
      <c r="K207" s="16"/>
      <c r="L207" s="16"/>
      <c r="M207" s="16"/>
      <c r="N207" s="16"/>
      <c r="O207" s="17"/>
    </row>
    <row r="208">
      <c r="C208" s="41" t="s">
        <v>1205</v>
      </c>
      <c r="D208" s="17"/>
      <c r="E208" s="72" t="s">
        <v>1206</v>
      </c>
      <c r="F208" s="72" t="s">
        <v>78</v>
      </c>
      <c r="G208" s="72">
        <v>1.0</v>
      </c>
      <c r="H208" s="72"/>
      <c r="J208" s="37" t="s">
        <v>60</v>
      </c>
      <c r="K208" s="17"/>
      <c r="L208" s="38" t="s">
        <v>16</v>
      </c>
      <c r="M208" s="38" t="s">
        <v>17</v>
      </c>
      <c r="N208" s="38" t="s">
        <v>18</v>
      </c>
      <c r="O208" s="38" t="s">
        <v>19</v>
      </c>
    </row>
    <row r="209">
      <c r="C209" s="41" t="s">
        <v>1207</v>
      </c>
      <c r="D209" s="17"/>
      <c r="E209" s="72" t="s">
        <v>78</v>
      </c>
      <c r="F209" s="72" t="s">
        <v>78</v>
      </c>
      <c r="G209" s="72">
        <v>1.0</v>
      </c>
      <c r="H209" s="72"/>
      <c r="J209" s="37" t="s">
        <v>1208</v>
      </c>
      <c r="K209" s="17"/>
      <c r="L209" s="108" t="s">
        <v>78</v>
      </c>
      <c r="M209" s="108" t="s">
        <v>78</v>
      </c>
      <c r="N209" s="108">
        <v>1.0</v>
      </c>
      <c r="O209" s="108"/>
    </row>
    <row r="210">
      <c r="C210" s="41" t="s">
        <v>1209</v>
      </c>
      <c r="D210" s="17"/>
      <c r="E210" s="72" t="s">
        <v>1210</v>
      </c>
      <c r="F210" s="72" t="s">
        <v>1211</v>
      </c>
      <c r="G210" s="72">
        <v>3.0</v>
      </c>
      <c r="H210" s="72"/>
      <c r="J210" s="111" t="s">
        <v>38</v>
      </c>
      <c r="K210" s="17"/>
      <c r="L210" s="108"/>
      <c r="M210" s="108"/>
      <c r="N210" s="109">
        <v>1.0</v>
      </c>
      <c r="O210" s="108"/>
    </row>
    <row r="211">
      <c r="C211" s="41" t="s">
        <v>1212</v>
      </c>
      <c r="D211" s="17"/>
      <c r="E211" s="72" t="s">
        <v>1213</v>
      </c>
      <c r="F211" s="72" t="s">
        <v>1214</v>
      </c>
      <c r="G211" s="72">
        <v>2.0</v>
      </c>
      <c r="H211" s="72"/>
    </row>
    <row r="212">
      <c r="C212" s="41" t="s">
        <v>1215</v>
      </c>
      <c r="D212" s="17"/>
      <c r="E212" s="72" t="s">
        <v>705</v>
      </c>
      <c r="F212" s="72" t="s">
        <v>1216</v>
      </c>
      <c r="G212" s="72">
        <v>1.0</v>
      </c>
      <c r="H212" s="72"/>
      <c r="J212" s="233" t="s">
        <v>58</v>
      </c>
      <c r="K212" s="16"/>
      <c r="L212" s="16"/>
      <c r="M212" s="16"/>
      <c r="N212" s="16"/>
      <c r="O212" s="17"/>
    </row>
    <row r="213">
      <c r="C213" s="41" t="s">
        <v>997</v>
      </c>
      <c r="D213" s="17"/>
      <c r="E213" s="72" t="s">
        <v>1217</v>
      </c>
      <c r="F213" s="72" t="s">
        <v>1218</v>
      </c>
      <c r="G213" s="72">
        <v>1.0</v>
      </c>
      <c r="H213" s="72"/>
      <c r="J213" s="233" t="s">
        <v>14</v>
      </c>
      <c r="K213" s="16"/>
      <c r="L213" s="16"/>
      <c r="M213" s="16"/>
      <c r="N213" s="16"/>
      <c r="O213" s="17"/>
    </row>
    <row r="214">
      <c r="C214" s="41" t="s">
        <v>1002</v>
      </c>
      <c r="D214" s="17"/>
      <c r="E214" s="72" t="s">
        <v>232</v>
      </c>
      <c r="F214" s="72" t="s">
        <v>78</v>
      </c>
      <c r="G214" s="72">
        <v>1.0</v>
      </c>
      <c r="H214" s="72"/>
      <c r="J214" s="234" t="s">
        <v>60</v>
      </c>
      <c r="K214" s="79"/>
      <c r="L214" s="235" t="s">
        <v>16</v>
      </c>
      <c r="M214" s="235" t="s">
        <v>17</v>
      </c>
      <c r="N214" s="235" t="s">
        <v>18</v>
      </c>
      <c r="O214" s="236" t="s">
        <v>19</v>
      </c>
    </row>
    <row r="215">
      <c r="C215" s="42" t="s">
        <v>546</v>
      </c>
      <c r="D215" s="42"/>
      <c r="E215" s="72" t="s">
        <v>78</v>
      </c>
      <c r="F215" s="72" t="s">
        <v>78</v>
      </c>
      <c r="G215" s="72">
        <v>2.0</v>
      </c>
      <c r="H215" s="72"/>
      <c r="J215" s="237"/>
      <c r="K215" s="237"/>
      <c r="L215" s="238"/>
      <c r="M215" s="238"/>
      <c r="N215" s="238"/>
      <c r="O215" s="239"/>
    </row>
    <row r="216">
      <c r="C216" s="42" t="s">
        <v>1219</v>
      </c>
      <c r="D216" s="42"/>
      <c r="E216" s="72" t="s">
        <v>197</v>
      </c>
      <c r="F216" s="72" t="s">
        <v>1220</v>
      </c>
      <c r="G216" s="72">
        <v>1.0</v>
      </c>
      <c r="H216" s="72"/>
      <c r="J216" s="237"/>
      <c r="K216" s="237"/>
      <c r="L216" s="238"/>
      <c r="M216" s="238"/>
      <c r="N216" s="238"/>
      <c r="O216" s="239"/>
    </row>
    <row r="217">
      <c r="C217" s="42" t="s">
        <v>1221</v>
      </c>
      <c r="D217" s="42"/>
      <c r="E217" s="72" t="s">
        <v>1222</v>
      </c>
      <c r="F217" s="72" t="s">
        <v>78</v>
      </c>
      <c r="G217" s="72">
        <v>1.0</v>
      </c>
      <c r="H217" s="72"/>
      <c r="J217" s="240"/>
      <c r="K217" s="240"/>
      <c r="L217" s="146"/>
      <c r="M217" s="146"/>
      <c r="N217" s="147"/>
      <c r="O217" s="241"/>
    </row>
    <row r="218">
      <c r="C218" s="42" t="s">
        <v>513</v>
      </c>
      <c r="D218" s="42"/>
      <c r="E218" s="72" t="s">
        <v>1144</v>
      </c>
      <c r="F218" s="72" t="s">
        <v>78</v>
      </c>
      <c r="G218" s="72">
        <v>1.0</v>
      </c>
      <c r="H218" s="72"/>
      <c r="J218" s="240"/>
      <c r="K218" s="240"/>
      <c r="L218" s="146"/>
      <c r="M218" s="146"/>
      <c r="N218" s="147"/>
      <c r="O218" s="241"/>
    </row>
    <row r="219">
      <c r="C219" s="42" t="s">
        <v>80</v>
      </c>
      <c r="D219" s="42"/>
      <c r="E219" s="72" t="s">
        <v>78</v>
      </c>
      <c r="F219" s="72" t="s">
        <v>78</v>
      </c>
      <c r="G219" s="72">
        <v>2.0</v>
      </c>
      <c r="H219" s="72"/>
      <c r="J219" s="240"/>
      <c r="K219" s="240"/>
      <c r="L219" s="146"/>
      <c r="M219" s="146"/>
      <c r="N219" s="147"/>
      <c r="O219" s="241"/>
    </row>
    <row r="220">
      <c r="C220" s="42" t="s">
        <v>1223</v>
      </c>
      <c r="D220" s="42"/>
      <c r="E220" s="72" t="s">
        <v>87</v>
      </c>
      <c r="F220" s="72" t="s">
        <v>681</v>
      </c>
      <c r="G220" s="72">
        <v>6.0</v>
      </c>
      <c r="H220" s="72"/>
      <c r="J220" s="240"/>
      <c r="K220" s="240"/>
      <c r="L220" s="146"/>
      <c r="M220" s="146"/>
      <c r="N220" s="147"/>
      <c r="O220" s="241"/>
    </row>
    <row r="221">
      <c r="C221" s="41" t="s">
        <v>1224</v>
      </c>
      <c r="D221" s="17"/>
      <c r="E221" s="72" t="s">
        <v>1200</v>
      </c>
      <c r="F221" s="72" t="s">
        <v>1225</v>
      </c>
      <c r="G221" s="72">
        <v>2.0</v>
      </c>
      <c r="H221" s="72"/>
      <c r="J221" s="137" t="s">
        <v>407</v>
      </c>
      <c r="K221" s="79"/>
      <c r="L221" s="146" t="s">
        <v>87</v>
      </c>
      <c r="M221" s="146" t="s">
        <v>1226</v>
      </c>
      <c r="N221" s="147">
        <v>1.0</v>
      </c>
      <c r="O221" s="241"/>
    </row>
    <row r="222">
      <c r="C222" s="113" t="s">
        <v>38</v>
      </c>
      <c r="D222" s="17"/>
      <c r="E222" s="163">
        <f>SUM(G187:G221)</f>
        <v>57</v>
      </c>
      <c r="F222" s="16"/>
      <c r="G222" s="16"/>
      <c r="H222" s="17"/>
      <c r="J222" s="137" t="s">
        <v>1227</v>
      </c>
      <c r="K222" s="79"/>
      <c r="L222" s="146" t="s">
        <v>87</v>
      </c>
      <c r="M222" s="146" t="s">
        <v>159</v>
      </c>
      <c r="N222" s="147">
        <v>1.0</v>
      </c>
      <c r="O222" s="241"/>
    </row>
    <row r="223">
      <c r="C223" s="148"/>
      <c r="D223" s="148"/>
      <c r="E223" s="148"/>
      <c r="F223" s="148"/>
      <c r="G223" s="148"/>
      <c r="H223" s="148"/>
      <c r="J223" s="137" t="s">
        <v>1195</v>
      </c>
      <c r="K223" s="79"/>
      <c r="L223" s="146" t="s">
        <v>87</v>
      </c>
      <c r="M223" s="146">
        <v>7072.0</v>
      </c>
      <c r="N223" s="147">
        <v>2.0</v>
      </c>
      <c r="O223" s="146"/>
    </row>
    <row r="224">
      <c r="J224" s="137" t="s">
        <v>311</v>
      </c>
      <c r="K224" s="79"/>
      <c r="L224" s="146" t="s">
        <v>78</v>
      </c>
      <c r="M224" s="146">
        <v>70681.0</v>
      </c>
      <c r="N224" s="147">
        <v>1.0</v>
      </c>
      <c r="O224" s="146"/>
    </row>
    <row r="225">
      <c r="J225" s="137" t="s">
        <v>1228</v>
      </c>
      <c r="K225" s="79"/>
      <c r="L225" s="146" t="s">
        <v>87</v>
      </c>
      <c r="M225" s="146" t="s">
        <v>1229</v>
      </c>
      <c r="N225" s="147">
        <v>1.0</v>
      </c>
      <c r="O225" s="146"/>
    </row>
    <row r="226">
      <c r="J226" s="137" t="s">
        <v>1230</v>
      </c>
      <c r="K226" s="79"/>
      <c r="L226" s="146" t="s">
        <v>87</v>
      </c>
      <c r="M226" s="146" t="s">
        <v>1231</v>
      </c>
      <c r="N226" s="147">
        <v>1.0</v>
      </c>
      <c r="O226" s="146"/>
    </row>
    <row r="227">
      <c r="C227" s="233" t="s">
        <v>58</v>
      </c>
      <c r="D227" s="16"/>
      <c r="E227" s="16"/>
      <c r="F227" s="16"/>
      <c r="G227" s="16"/>
      <c r="H227" s="17"/>
      <c r="J227" s="137" t="s">
        <v>1209</v>
      </c>
      <c r="K227" s="79"/>
      <c r="L227" s="146" t="s">
        <v>87</v>
      </c>
      <c r="M227" s="146" t="s">
        <v>904</v>
      </c>
      <c r="N227" s="147">
        <v>1.0</v>
      </c>
      <c r="O227" s="146"/>
    </row>
    <row r="228">
      <c r="C228" s="233" t="s">
        <v>14</v>
      </c>
      <c r="D228" s="16"/>
      <c r="E228" s="16"/>
      <c r="F228" s="16"/>
      <c r="G228" s="16"/>
      <c r="H228" s="17"/>
      <c r="J228" s="137" t="s">
        <v>98</v>
      </c>
      <c r="K228" s="79"/>
      <c r="L228" s="146" t="s">
        <v>87</v>
      </c>
      <c r="M228" s="162" t="s">
        <v>78</v>
      </c>
      <c r="N228" s="147">
        <v>1.0</v>
      </c>
      <c r="O228" s="146"/>
    </row>
    <row r="229">
      <c r="C229" s="234" t="s">
        <v>60</v>
      </c>
      <c r="D229" s="79"/>
      <c r="E229" s="235" t="s">
        <v>16</v>
      </c>
      <c r="F229" s="235" t="s">
        <v>17</v>
      </c>
      <c r="G229" s="235" t="s">
        <v>18</v>
      </c>
      <c r="H229" s="236" t="s">
        <v>19</v>
      </c>
      <c r="J229" s="137" t="s">
        <v>1232</v>
      </c>
      <c r="K229" s="79"/>
      <c r="L229" s="146" t="s">
        <v>87</v>
      </c>
      <c r="M229" s="162" t="s">
        <v>619</v>
      </c>
      <c r="N229" s="147">
        <v>1.0</v>
      </c>
      <c r="O229" s="146"/>
    </row>
    <row r="230">
      <c r="C230" s="234" t="s">
        <v>1233</v>
      </c>
      <c r="D230" s="79"/>
      <c r="E230" s="239" t="s">
        <v>643</v>
      </c>
      <c r="F230" s="34"/>
      <c r="G230" s="34"/>
      <c r="H230" s="79"/>
      <c r="J230" s="137" t="s">
        <v>1234</v>
      </c>
      <c r="K230" s="79"/>
      <c r="L230" s="146" t="s">
        <v>87</v>
      </c>
      <c r="M230" s="162" t="s">
        <v>1235</v>
      </c>
      <c r="N230" s="147">
        <v>2.0</v>
      </c>
      <c r="O230" s="146"/>
    </row>
    <row r="231">
      <c r="C231" s="137" t="s">
        <v>199</v>
      </c>
      <c r="D231" s="79"/>
      <c r="E231" s="146" t="s">
        <v>78</v>
      </c>
      <c r="F231" s="146" t="s">
        <v>78</v>
      </c>
      <c r="G231" s="147">
        <v>1.0</v>
      </c>
      <c r="H231" s="241"/>
      <c r="J231" s="137" t="s">
        <v>206</v>
      </c>
      <c r="K231" s="79"/>
      <c r="L231" s="146" t="s">
        <v>1236</v>
      </c>
      <c r="M231" s="242" t="s">
        <v>1237</v>
      </c>
      <c r="N231" s="147">
        <v>2.0</v>
      </c>
      <c r="O231" s="146"/>
    </row>
    <row r="232">
      <c r="C232" s="137" t="s">
        <v>1238</v>
      </c>
      <c r="D232" s="79"/>
      <c r="E232" s="146" t="s">
        <v>78</v>
      </c>
      <c r="F232" s="146" t="s">
        <v>1239</v>
      </c>
      <c r="G232" s="147">
        <v>1.0</v>
      </c>
      <c r="H232" s="241"/>
      <c r="J232" s="243" t="s">
        <v>38</v>
      </c>
      <c r="K232" s="17"/>
      <c r="L232" s="182"/>
      <c r="M232" s="182"/>
      <c r="N232" s="182">
        <f>SUM(N217:N231)</f>
        <v>14</v>
      </c>
      <c r="O232" s="182"/>
    </row>
    <row r="233">
      <c r="C233" s="137" t="s">
        <v>1240</v>
      </c>
      <c r="D233" s="79"/>
      <c r="E233" s="146" t="s">
        <v>1241</v>
      </c>
      <c r="F233" s="146" t="s">
        <v>78</v>
      </c>
      <c r="G233" s="147">
        <v>1.0</v>
      </c>
      <c r="H233" s="146"/>
      <c r="J233" s="244"/>
      <c r="K233" s="244"/>
      <c r="L233" s="244"/>
      <c r="M233" s="244"/>
      <c r="N233" s="244"/>
      <c r="O233" s="244"/>
    </row>
    <row r="234">
      <c r="C234" s="137" t="s">
        <v>1242</v>
      </c>
      <c r="D234" s="79"/>
      <c r="E234" s="146" t="s">
        <v>1241</v>
      </c>
      <c r="F234" s="146" t="s">
        <v>78</v>
      </c>
      <c r="G234" s="147">
        <v>1.0</v>
      </c>
      <c r="H234" s="146"/>
    </row>
    <row r="235">
      <c r="C235" s="137" t="s">
        <v>1243</v>
      </c>
      <c r="D235" s="79"/>
      <c r="E235" s="146" t="s">
        <v>1241</v>
      </c>
      <c r="F235" s="146" t="s">
        <v>78</v>
      </c>
      <c r="G235" s="147">
        <v>1.0</v>
      </c>
      <c r="H235" s="146"/>
    </row>
    <row r="236">
      <c r="C236" s="137" t="s">
        <v>1244</v>
      </c>
      <c r="D236" s="79"/>
      <c r="E236" s="146" t="s">
        <v>78</v>
      </c>
      <c r="F236" s="146" t="s">
        <v>78</v>
      </c>
      <c r="G236" s="147">
        <v>1.0</v>
      </c>
      <c r="H236" s="146"/>
      <c r="J236" s="18" t="s">
        <v>58</v>
      </c>
      <c r="K236" s="16"/>
      <c r="L236" s="16"/>
      <c r="M236" s="16"/>
      <c r="N236" s="16"/>
      <c r="O236" s="17"/>
    </row>
    <row r="237">
      <c r="C237" s="137" t="s">
        <v>1245</v>
      </c>
      <c r="D237" s="79"/>
      <c r="E237" s="146" t="s">
        <v>78</v>
      </c>
      <c r="F237" s="146" t="s">
        <v>78</v>
      </c>
      <c r="G237" s="147">
        <v>1.0</v>
      </c>
      <c r="H237" s="146"/>
      <c r="J237" s="18" t="s">
        <v>14</v>
      </c>
      <c r="K237" s="16"/>
      <c r="L237" s="16"/>
      <c r="M237" s="16"/>
      <c r="N237" s="16"/>
      <c r="O237" s="17"/>
    </row>
    <row r="238">
      <c r="C238" s="137" t="s">
        <v>247</v>
      </c>
      <c r="D238" s="79"/>
      <c r="E238" s="146" t="s">
        <v>78</v>
      </c>
      <c r="F238" s="162" t="s">
        <v>78</v>
      </c>
      <c r="G238" s="147">
        <v>1.0</v>
      </c>
      <c r="H238" s="146"/>
      <c r="J238" s="18" t="s">
        <v>60</v>
      </c>
      <c r="K238" s="17"/>
      <c r="L238" s="19" t="s">
        <v>16</v>
      </c>
      <c r="M238" s="19" t="s">
        <v>17</v>
      </c>
      <c r="N238" s="19" t="s">
        <v>18</v>
      </c>
      <c r="O238" s="19" t="s">
        <v>19</v>
      </c>
    </row>
    <row r="239">
      <c r="C239" s="137" t="s">
        <v>255</v>
      </c>
      <c r="D239" s="79"/>
      <c r="E239" s="146" t="s">
        <v>78</v>
      </c>
      <c r="F239" s="162" t="s">
        <v>78</v>
      </c>
      <c r="G239" s="147">
        <v>1.0</v>
      </c>
      <c r="H239" s="146"/>
      <c r="J239" s="163" t="s">
        <v>1246</v>
      </c>
      <c r="K239" s="17"/>
      <c r="L239" s="18"/>
      <c r="M239" s="16"/>
      <c r="N239" s="16"/>
      <c r="O239" s="17"/>
    </row>
    <row r="240">
      <c r="C240" s="137" t="s">
        <v>1247</v>
      </c>
      <c r="D240" s="79"/>
      <c r="E240" s="146" t="s">
        <v>78</v>
      </c>
      <c r="F240" s="162" t="s">
        <v>78</v>
      </c>
      <c r="G240" s="147">
        <v>1.0</v>
      </c>
      <c r="H240" s="146"/>
      <c r="J240" s="41" t="s">
        <v>865</v>
      </c>
      <c r="K240" s="17"/>
      <c r="L240" s="4" t="s">
        <v>78</v>
      </c>
      <c r="M240" s="4" t="s">
        <v>78</v>
      </c>
      <c r="N240" s="4">
        <v>1.0</v>
      </c>
      <c r="O240" s="4"/>
    </row>
    <row r="241">
      <c r="C241" s="137" t="s">
        <v>1248</v>
      </c>
      <c r="D241" s="79"/>
      <c r="E241" s="146" t="s">
        <v>1236</v>
      </c>
      <c r="F241" s="242">
        <v>29768.0</v>
      </c>
      <c r="G241" s="147">
        <v>1.0</v>
      </c>
      <c r="H241" s="146"/>
      <c r="J241" s="41" t="s">
        <v>579</v>
      </c>
      <c r="K241" s="17"/>
      <c r="L241" s="4" t="s">
        <v>78</v>
      </c>
      <c r="M241" s="4" t="s">
        <v>78</v>
      </c>
      <c r="N241" s="4">
        <v>1.0</v>
      </c>
      <c r="O241" s="4"/>
    </row>
    <row r="242">
      <c r="C242" s="137" t="s">
        <v>1249</v>
      </c>
      <c r="D242" s="79"/>
      <c r="E242" s="146" t="s">
        <v>78</v>
      </c>
      <c r="F242" s="162" t="s">
        <v>78</v>
      </c>
      <c r="G242" s="147">
        <v>2.0</v>
      </c>
      <c r="H242" s="146"/>
      <c r="J242" s="41" t="s">
        <v>199</v>
      </c>
      <c r="K242" s="17"/>
      <c r="L242" s="4" t="s">
        <v>78</v>
      </c>
      <c r="M242" s="46" t="s">
        <v>78</v>
      </c>
      <c r="N242" s="4">
        <v>2.0</v>
      </c>
      <c r="O242" s="4"/>
    </row>
    <row r="243">
      <c r="C243" s="137" t="s">
        <v>1250</v>
      </c>
      <c r="D243" s="79"/>
      <c r="E243" s="146" t="s">
        <v>87</v>
      </c>
      <c r="F243" s="146" t="s">
        <v>1251</v>
      </c>
      <c r="G243" s="147">
        <v>1.0</v>
      </c>
      <c r="H243" s="146"/>
      <c r="J243" s="41" t="s">
        <v>1252</v>
      </c>
      <c r="K243" s="17"/>
      <c r="L243" s="4" t="s">
        <v>78</v>
      </c>
      <c r="M243" s="4" t="s">
        <v>78</v>
      </c>
      <c r="N243" s="4">
        <v>1.0</v>
      </c>
      <c r="O243" s="4"/>
    </row>
    <row r="244">
      <c r="C244" s="137" t="s">
        <v>1253</v>
      </c>
      <c r="D244" s="79"/>
      <c r="E244" s="146" t="s">
        <v>78</v>
      </c>
      <c r="F244" s="146" t="s">
        <v>78</v>
      </c>
      <c r="G244" s="147">
        <v>1.0</v>
      </c>
      <c r="H244" s="146"/>
      <c r="J244" s="41" t="s">
        <v>1254</v>
      </c>
      <c r="K244" s="17"/>
      <c r="L244" s="4" t="s">
        <v>78</v>
      </c>
      <c r="M244" s="4" t="s">
        <v>78</v>
      </c>
      <c r="N244" s="4">
        <v>1.0</v>
      </c>
      <c r="O244" s="4"/>
    </row>
    <row r="245">
      <c r="C245" s="243" t="s">
        <v>38</v>
      </c>
      <c r="D245" s="17"/>
      <c r="E245" s="182"/>
      <c r="F245" s="182"/>
      <c r="G245" s="182">
        <f>SUM(G231:G244)</f>
        <v>15</v>
      </c>
      <c r="H245" s="182"/>
      <c r="J245" s="41" t="s">
        <v>175</v>
      </c>
      <c r="K245" s="17"/>
      <c r="L245" s="4" t="s">
        <v>78</v>
      </c>
      <c r="M245" s="46">
        <v>11223.0</v>
      </c>
      <c r="N245" s="4">
        <v>1.0</v>
      </c>
      <c r="O245" s="4"/>
    </row>
    <row r="246">
      <c r="C246" s="245"/>
      <c r="D246" s="245"/>
      <c r="E246" s="245"/>
      <c r="F246" s="245"/>
      <c r="G246" s="245"/>
      <c r="H246" s="245"/>
      <c r="J246" s="41" t="s">
        <v>1255</v>
      </c>
      <c r="K246" s="17"/>
      <c r="L246" s="4" t="s">
        <v>78</v>
      </c>
      <c r="M246" s="4" t="s">
        <v>78</v>
      </c>
      <c r="N246" s="4">
        <v>1.0</v>
      </c>
      <c r="O246" s="4"/>
    </row>
    <row r="247">
      <c r="C247" s="245"/>
      <c r="D247" s="245"/>
      <c r="E247" s="245"/>
      <c r="F247" s="245"/>
      <c r="G247" s="245"/>
      <c r="H247" s="245"/>
      <c r="J247" s="41" t="s">
        <v>1256</v>
      </c>
      <c r="K247" s="17"/>
      <c r="L247" s="4" t="s">
        <v>78</v>
      </c>
      <c r="M247" s="4" t="s">
        <v>78</v>
      </c>
      <c r="N247" s="4">
        <v>1.0</v>
      </c>
      <c r="O247" s="4"/>
    </row>
    <row r="248">
      <c r="C248" s="233" t="s">
        <v>58</v>
      </c>
      <c r="D248" s="16"/>
      <c r="E248" s="16"/>
      <c r="F248" s="16"/>
      <c r="G248" s="16"/>
      <c r="H248" s="17"/>
      <c r="J248" s="41" t="s">
        <v>91</v>
      </c>
      <c r="K248" s="17"/>
      <c r="L248" s="4" t="s">
        <v>78</v>
      </c>
      <c r="M248" s="4" t="s">
        <v>78</v>
      </c>
      <c r="N248" s="4">
        <v>1.0</v>
      </c>
      <c r="O248" s="4"/>
    </row>
    <row r="249">
      <c r="C249" s="233" t="s">
        <v>14</v>
      </c>
      <c r="D249" s="16"/>
      <c r="E249" s="16"/>
      <c r="F249" s="16"/>
      <c r="G249" s="16"/>
      <c r="H249" s="17"/>
      <c r="J249" s="41" t="s">
        <v>1257</v>
      </c>
      <c r="K249" s="17"/>
      <c r="L249" s="4" t="s">
        <v>78</v>
      </c>
      <c r="M249" s="46" t="s">
        <v>78</v>
      </c>
      <c r="N249" s="4">
        <v>1.0</v>
      </c>
      <c r="O249" s="4"/>
    </row>
    <row r="250">
      <c r="C250" s="246" t="s">
        <v>60</v>
      </c>
      <c r="D250" s="17"/>
      <c r="E250" s="247" t="s">
        <v>16</v>
      </c>
      <c r="F250" s="247" t="s">
        <v>17</v>
      </c>
      <c r="G250" s="247" t="s">
        <v>18</v>
      </c>
      <c r="H250" s="247" t="s">
        <v>19</v>
      </c>
      <c r="J250" s="41" t="s">
        <v>1258</v>
      </c>
      <c r="K250" s="17"/>
      <c r="L250" s="4" t="s">
        <v>705</v>
      </c>
      <c r="M250" s="4" t="s">
        <v>78</v>
      </c>
      <c r="N250" s="4">
        <v>1.0</v>
      </c>
      <c r="O250" s="4"/>
    </row>
    <row r="251">
      <c r="C251" s="246" t="s">
        <v>1259</v>
      </c>
      <c r="D251" s="17"/>
      <c r="E251" s="248"/>
      <c r="F251" s="248"/>
      <c r="G251" s="248"/>
      <c r="H251" s="248"/>
      <c r="J251" s="41" t="s">
        <v>158</v>
      </c>
      <c r="K251" s="17"/>
      <c r="L251" s="4" t="s">
        <v>78</v>
      </c>
      <c r="M251" s="46" t="s">
        <v>78</v>
      </c>
      <c r="N251" s="4">
        <v>1.0</v>
      </c>
      <c r="O251" s="4"/>
    </row>
    <row r="252">
      <c r="C252" s="133" t="s">
        <v>1260</v>
      </c>
      <c r="D252" s="17"/>
      <c r="E252" s="248" t="s">
        <v>87</v>
      </c>
      <c r="F252" s="249">
        <v>292651.0</v>
      </c>
      <c r="G252" s="250">
        <v>1.0</v>
      </c>
      <c r="H252" s="248"/>
      <c r="J252" s="41" t="s">
        <v>216</v>
      </c>
      <c r="K252" s="17"/>
      <c r="L252" s="4" t="s">
        <v>78</v>
      </c>
      <c r="M252" s="4" t="s">
        <v>78</v>
      </c>
      <c r="N252" s="4">
        <v>1.0</v>
      </c>
      <c r="O252" s="105"/>
    </row>
    <row r="253">
      <c r="C253" s="133" t="s">
        <v>1261</v>
      </c>
      <c r="D253" s="17"/>
      <c r="E253" s="248" t="s">
        <v>87</v>
      </c>
      <c r="F253" s="248" t="s">
        <v>1262</v>
      </c>
      <c r="G253" s="250">
        <v>1.0</v>
      </c>
      <c r="H253" s="248"/>
      <c r="J253" s="251" t="s">
        <v>1263</v>
      </c>
      <c r="K253" s="171"/>
      <c r="L253" s="252" t="s">
        <v>705</v>
      </c>
      <c r="M253" s="252" t="s">
        <v>78</v>
      </c>
      <c r="N253" s="252">
        <v>1.0</v>
      </c>
      <c r="O253" s="252"/>
    </row>
    <row r="254">
      <c r="C254" s="243" t="s">
        <v>38</v>
      </c>
      <c r="D254" s="17"/>
      <c r="E254" s="182"/>
      <c r="F254" s="182"/>
      <c r="G254" s="182">
        <v>3.0</v>
      </c>
      <c r="H254" s="182"/>
      <c r="J254" s="25" t="s">
        <v>1264</v>
      </c>
      <c r="K254" s="17"/>
      <c r="L254" s="4" t="s">
        <v>78</v>
      </c>
      <c r="M254" s="4" t="s">
        <v>78</v>
      </c>
      <c r="N254" s="4">
        <v>1.0</v>
      </c>
      <c r="O254" s="4"/>
    </row>
    <row r="255">
      <c r="C255" s="245"/>
      <c r="D255" s="245"/>
      <c r="E255" s="245"/>
      <c r="F255" s="245"/>
      <c r="G255" s="245"/>
      <c r="H255" s="245"/>
      <c r="J255" s="25" t="s">
        <v>1265</v>
      </c>
      <c r="K255" s="17"/>
      <c r="L255" s="4" t="s">
        <v>78</v>
      </c>
      <c r="M255" s="4" t="s">
        <v>78</v>
      </c>
      <c r="N255" s="5">
        <v>1.0</v>
      </c>
      <c r="O255" s="5"/>
    </row>
    <row r="256">
      <c r="C256" s="245"/>
      <c r="D256" s="245"/>
      <c r="E256" s="245"/>
      <c r="F256" s="245"/>
      <c r="G256" s="245"/>
      <c r="H256" s="245"/>
      <c r="J256" s="25" t="s">
        <v>1266</v>
      </c>
      <c r="K256" s="17"/>
      <c r="L256" s="4" t="s">
        <v>78</v>
      </c>
      <c r="M256" s="4" t="s">
        <v>78</v>
      </c>
      <c r="N256" s="5">
        <v>1.0</v>
      </c>
      <c r="O256" s="5"/>
    </row>
    <row r="257">
      <c r="C257" s="233" t="s">
        <v>58</v>
      </c>
      <c r="D257" s="16"/>
      <c r="E257" s="16"/>
      <c r="F257" s="16"/>
      <c r="G257" s="16"/>
      <c r="H257" s="17"/>
      <c r="J257" s="25" t="s">
        <v>1267</v>
      </c>
      <c r="K257" s="17"/>
      <c r="L257" s="4" t="s">
        <v>78</v>
      </c>
      <c r="M257" s="4" t="s">
        <v>78</v>
      </c>
      <c r="N257" s="5">
        <v>1.0</v>
      </c>
      <c r="O257" s="5"/>
    </row>
    <row r="258">
      <c r="C258" s="233" t="s">
        <v>14</v>
      </c>
      <c r="D258" s="16"/>
      <c r="E258" s="16"/>
      <c r="F258" s="16"/>
      <c r="G258" s="16"/>
      <c r="H258" s="17"/>
      <c r="J258" s="25" t="s">
        <v>74</v>
      </c>
      <c r="K258" s="17"/>
      <c r="L258" s="4" t="s">
        <v>78</v>
      </c>
      <c r="M258" s="4" t="s">
        <v>78</v>
      </c>
      <c r="N258" s="5">
        <v>1.0</v>
      </c>
      <c r="O258" s="5"/>
    </row>
    <row r="259">
      <c r="C259" s="246" t="s">
        <v>60</v>
      </c>
      <c r="D259" s="17"/>
      <c r="E259" s="247" t="s">
        <v>16</v>
      </c>
      <c r="F259" s="247" t="s">
        <v>17</v>
      </c>
      <c r="G259" s="247" t="s">
        <v>18</v>
      </c>
      <c r="H259" s="247" t="s">
        <v>19</v>
      </c>
      <c r="J259" s="25" t="s">
        <v>1268</v>
      </c>
      <c r="K259" s="17"/>
      <c r="L259" s="4" t="s">
        <v>78</v>
      </c>
      <c r="M259" s="4" t="s">
        <v>78</v>
      </c>
      <c r="N259" s="5">
        <v>1.0</v>
      </c>
      <c r="O259" s="5"/>
    </row>
    <row r="260">
      <c r="C260" s="246" t="s">
        <v>1269</v>
      </c>
      <c r="D260" s="17"/>
      <c r="E260" s="248"/>
      <c r="F260" s="248"/>
      <c r="G260" s="248"/>
      <c r="H260" s="248"/>
      <c r="J260" s="25" t="s">
        <v>1270</v>
      </c>
      <c r="K260" s="17"/>
      <c r="L260" s="4" t="s">
        <v>78</v>
      </c>
      <c r="M260" s="4" t="s">
        <v>78</v>
      </c>
      <c r="N260" s="4">
        <v>1.0</v>
      </c>
      <c r="O260" s="4"/>
    </row>
    <row r="261">
      <c r="C261" s="133" t="s">
        <v>1193</v>
      </c>
      <c r="D261" s="17"/>
      <c r="E261" s="248" t="s">
        <v>78</v>
      </c>
      <c r="F261" s="253" t="s">
        <v>78</v>
      </c>
      <c r="G261" s="250">
        <v>1.0</v>
      </c>
      <c r="H261" s="248"/>
      <c r="L261" s="4"/>
      <c r="M261" s="4"/>
      <c r="N261" s="4"/>
      <c r="O261" s="4"/>
    </row>
    <row r="262">
      <c r="C262" s="133" t="s">
        <v>1147</v>
      </c>
      <c r="D262" s="17"/>
      <c r="E262" s="248" t="s">
        <v>78</v>
      </c>
      <c r="F262" s="248" t="s">
        <v>78</v>
      </c>
      <c r="G262" s="250">
        <v>1.0</v>
      </c>
      <c r="H262" s="248"/>
      <c r="J262" s="25"/>
      <c r="K262" s="17"/>
      <c r="L262" s="4"/>
      <c r="M262" s="4"/>
      <c r="N262" s="4">
        <f>SUM(N240:N261)</f>
        <v>22</v>
      </c>
      <c r="O262" s="4"/>
    </row>
    <row r="263">
      <c r="C263" s="243" t="s">
        <v>38</v>
      </c>
      <c r="D263" s="17"/>
      <c r="E263" s="182"/>
      <c r="F263" s="182"/>
      <c r="G263" s="182">
        <v>2.0</v>
      </c>
      <c r="H263" s="182"/>
      <c r="J263" s="25"/>
      <c r="K263" s="17"/>
      <c r="L263" s="4"/>
      <c r="M263" s="4"/>
      <c r="N263" s="4"/>
      <c r="O263" s="4"/>
    </row>
    <row r="264">
      <c r="C264" s="245"/>
      <c r="D264" s="245"/>
      <c r="E264" s="245"/>
      <c r="F264" s="245"/>
      <c r="G264" s="245"/>
      <c r="H264" s="245"/>
    </row>
    <row r="265">
      <c r="C265" s="245"/>
      <c r="D265" s="245"/>
      <c r="E265" s="245"/>
      <c r="F265" s="245"/>
      <c r="G265" s="245"/>
      <c r="H265" s="245"/>
    </row>
    <row r="266">
      <c r="C266" s="233" t="s">
        <v>58</v>
      </c>
      <c r="D266" s="16"/>
      <c r="E266" s="16"/>
      <c r="F266" s="16"/>
      <c r="G266" s="16"/>
      <c r="H266" s="17"/>
      <c r="J266" s="18" t="s">
        <v>58</v>
      </c>
      <c r="K266" s="16"/>
      <c r="L266" s="16"/>
      <c r="M266" s="16"/>
      <c r="N266" s="16"/>
      <c r="O266" s="17"/>
    </row>
    <row r="267">
      <c r="C267" s="233" t="s">
        <v>14</v>
      </c>
      <c r="D267" s="16"/>
      <c r="E267" s="16"/>
      <c r="F267" s="16"/>
      <c r="G267" s="16"/>
      <c r="H267" s="17"/>
      <c r="J267" s="18" t="s">
        <v>14</v>
      </c>
      <c r="K267" s="16"/>
      <c r="L267" s="16"/>
      <c r="M267" s="16"/>
      <c r="N267" s="16"/>
      <c r="O267" s="17"/>
    </row>
    <row r="268">
      <c r="C268" s="234" t="s">
        <v>60</v>
      </c>
      <c r="D268" s="79"/>
      <c r="E268" s="235" t="s">
        <v>16</v>
      </c>
      <c r="F268" s="235" t="s">
        <v>17</v>
      </c>
      <c r="G268" s="235" t="s">
        <v>18</v>
      </c>
      <c r="H268" s="236" t="s">
        <v>19</v>
      </c>
      <c r="J268" s="18" t="s">
        <v>60</v>
      </c>
      <c r="K268" s="17"/>
      <c r="L268" s="19" t="s">
        <v>16</v>
      </c>
      <c r="M268" s="19" t="s">
        <v>17</v>
      </c>
      <c r="N268" s="19" t="s">
        <v>18</v>
      </c>
      <c r="O268" s="19" t="s">
        <v>19</v>
      </c>
    </row>
    <row r="269">
      <c r="C269" s="234" t="s">
        <v>1271</v>
      </c>
      <c r="D269" s="79"/>
      <c r="E269" s="239" t="s">
        <v>1272</v>
      </c>
      <c r="F269" s="34"/>
      <c r="G269" s="34"/>
      <c r="H269" s="79"/>
      <c r="J269" s="20" t="s">
        <v>1273</v>
      </c>
      <c r="K269" s="17"/>
      <c r="L269" s="200"/>
      <c r="M269" s="16"/>
      <c r="N269" s="16"/>
      <c r="O269" s="17"/>
    </row>
    <row r="270">
      <c r="C270" s="137" t="s">
        <v>572</v>
      </c>
      <c r="D270" s="79"/>
      <c r="E270" s="146" t="s">
        <v>1241</v>
      </c>
      <c r="F270" s="162" t="s">
        <v>1274</v>
      </c>
      <c r="G270" s="147">
        <v>1.0</v>
      </c>
      <c r="H270" s="146"/>
      <c r="J270" s="25" t="s">
        <v>1275</v>
      </c>
      <c r="K270" s="17"/>
      <c r="L270" s="4" t="s">
        <v>1276</v>
      </c>
      <c r="M270" s="4" t="s">
        <v>1277</v>
      </c>
      <c r="N270" s="4">
        <v>1.0</v>
      </c>
      <c r="O270" s="4"/>
    </row>
    <row r="271">
      <c r="C271" s="137" t="s">
        <v>262</v>
      </c>
      <c r="D271" s="79"/>
      <c r="E271" s="146" t="s">
        <v>78</v>
      </c>
      <c r="F271" s="162" t="s">
        <v>1278</v>
      </c>
      <c r="G271" s="147">
        <v>1.0</v>
      </c>
      <c r="H271" s="146"/>
      <c r="J271" s="25" t="s">
        <v>1279</v>
      </c>
      <c r="K271" s="17"/>
      <c r="L271" s="4" t="s">
        <v>1280</v>
      </c>
      <c r="M271" s="4" t="s">
        <v>78</v>
      </c>
      <c r="N271" s="4">
        <v>2.0</v>
      </c>
      <c r="O271" s="4"/>
    </row>
    <row r="272">
      <c r="C272" s="137" t="s">
        <v>1281</v>
      </c>
      <c r="D272" s="79"/>
      <c r="E272" s="146" t="s">
        <v>87</v>
      </c>
      <c r="F272" s="162">
        <v>16.0</v>
      </c>
      <c r="G272" s="147">
        <v>1.0</v>
      </c>
      <c r="H272" s="146"/>
      <c r="J272" s="25" t="s">
        <v>1282</v>
      </c>
      <c r="K272" s="17"/>
      <c r="L272" s="4" t="s">
        <v>1283</v>
      </c>
      <c r="M272" s="4" t="s">
        <v>1284</v>
      </c>
      <c r="N272" s="4">
        <v>2.0</v>
      </c>
      <c r="O272" s="4"/>
    </row>
    <row r="273">
      <c r="C273" s="137" t="s">
        <v>1285</v>
      </c>
      <c r="D273" s="79"/>
      <c r="E273" s="146" t="s">
        <v>78</v>
      </c>
      <c r="F273" s="162" t="s">
        <v>78</v>
      </c>
      <c r="G273" s="147">
        <v>1.0</v>
      </c>
      <c r="H273" s="146"/>
      <c r="J273" s="25" t="s">
        <v>1286</v>
      </c>
      <c r="K273" s="17"/>
      <c r="L273" s="4" t="s">
        <v>1283</v>
      </c>
      <c r="M273" s="46" t="s">
        <v>1287</v>
      </c>
      <c r="N273" s="4">
        <v>1.0</v>
      </c>
      <c r="O273" s="4"/>
    </row>
    <row r="274">
      <c r="C274" s="137" t="s">
        <v>1288</v>
      </c>
      <c r="D274" s="79"/>
      <c r="E274" s="146" t="s">
        <v>78</v>
      </c>
      <c r="F274" s="162">
        <v>4.0</v>
      </c>
      <c r="G274" s="147">
        <v>1.0</v>
      </c>
      <c r="H274" s="146"/>
      <c r="J274" s="25" t="s">
        <v>1289</v>
      </c>
      <c r="K274" s="17"/>
      <c r="L274" s="4" t="s">
        <v>78</v>
      </c>
      <c r="M274" s="4" t="s">
        <v>78</v>
      </c>
      <c r="N274" s="4">
        <v>2.0</v>
      </c>
      <c r="O274" s="4"/>
    </row>
    <row r="275">
      <c r="C275" s="137" t="s">
        <v>1290</v>
      </c>
      <c r="D275" s="79"/>
      <c r="E275" s="146" t="s">
        <v>78</v>
      </c>
      <c r="F275" s="162" t="s">
        <v>78</v>
      </c>
      <c r="G275" s="147">
        <v>1.0</v>
      </c>
      <c r="H275" s="146"/>
      <c r="J275" s="25"/>
      <c r="K275" s="17"/>
      <c r="L275" s="4"/>
      <c r="M275" s="4"/>
      <c r="N275" s="4"/>
      <c r="O275" s="4"/>
    </row>
    <row r="276">
      <c r="C276" s="137" t="s">
        <v>1285</v>
      </c>
      <c r="D276" s="79"/>
      <c r="E276" s="146" t="s">
        <v>78</v>
      </c>
      <c r="F276" s="162">
        <v>4.0</v>
      </c>
      <c r="G276" s="147">
        <v>1.0</v>
      </c>
      <c r="H276" s="146"/>
      <c r="J276" s="20" t="s">
        <v>38</v>
      </c>
      <c r="K276" s="17"/>
      <c r="L276" s="4"/>
      <c r="M276" s="4"/>
      <c r="N276" s="4">
        <f>SUM(N270:N275)</f>
        <v>8</v>
      </c>
      <c r="O276" s="4"/>
    </row>
    <row r="277">
      <c r="C277" s="137" t="s">
        <v>1291</v>
      </c>
      <c r="D277" s="79"/>
      <c r="E277" s="146" t="s">
        <v>87</v>
      </c>
      <c r="F277" s="162" t="s">
        <v>351</v>
      </c>
      <c r="G277" s="147">
        <v>1.0</v>
      </c>
      <c r="H277" s="146"/>
    </row>
    <row r="278">
      <c r="C278" s="137" t="s">
        <v>1292</v>
      </c>
      <c r="D278" s="79"/>
      <c r="E278" s="146" t="s">
        <v>87</v>
      </c>
      <c r="F278" s="162" t="s">
        <v>1293</v>
      </c>
      <c r="G278" s="147">
        <v>1.0</v>
      </c>
      <c r="H278" s="146"/>
    </row>
    <row r="279">
      <c r="C279" s="137" t="s">
        <v>1294</v>
      </c>
      <c r="D279" s="79"/>
      <c r="E279" s="146" t="s">
        <v>78</v>
      </c>
      <c r="F279" s="162" t="s">
        <v>78</v>
      </c>
      <c r="G279" s="147">
        <v>1.0</v>
      </c>
      <c r="H279" s="146"/>
    </row>
    <row r="280">
      <c r="C280" s="137" t="s">
        <v>1195</v>
      </c>
      <c r="D280" s="79"/>
      <c r="E280" s="146" t="s">
        <v>87</v>
      </c>
      <c r="F280" s="162" t="s">
        <v>217</v>
      </c>
      <c r="G280" s="147">
        <v>1.0</v>
      </c>
      <c r="H280" s="146"/>
      <c r="J280" s="28" t="s">
        <v>1295</v>
      </c>
      <c r="K280" s="16"/>
      <c r="L280" s="16"/>
      <c r="M280" s="16"/>
      <c r="N280" s="16"/>
      <c r="O280" s="17"/>
    </row>
    <row r="281">
      <c r="C281" s="137" t="s">
        <v>1296</v>
      </c>
      <c r="D281" s="79"/>
      <c r="E281" s="146" t="s">
        <v>78</v>
      </c>
      <c r="F281" s="162" t="s">
        <v>78</v>
      </c>
      <c r="G281" s="147">
        <v>1.0</v>
      </c>
      <c r="H281" s="146"/>
      <c r="J281" s="28" t="s">
        <v>14</v>
      </c>
      <c r="K281" s="16"/>
      <c r="L281" s="16"/>
      <c r="M281" s="16"/>
      <c r="N281" s="16"/>
      <c r="O281" s="17"/>
    </row>
    <row r="282">
      <c r="C282" s="137" t="s">
        <v>1297</v>
      </c>
      <c r="D282" s="79"/>
      <c r="E282" s="146" t="s">
        <v>87</v>
      </c>
      <c r="F282" s="162">
        <v>7.0</v>
      </c>
      <c r="G282" s="147">
        <v>1.0</v>
      </c>
      <c r="H282" s="146"/>
      <c r="J282" s="28" t="s">
        <v>60</v>
      </c>
      <c r="K282" s="17"/>
      <c r="L282" s="30" t="s">
        <v>16</v>
      </c>
      <c r="M282" s="30" t="s">
        <v>17</v>
      </c>
      <c r="N282" s="30" t="s">
        <v>18</v>
      </c>
      <c r="O282" s="30" t="s">
        <v>19</v>
      </c>
    </row>
    <row r="283">
      <c r="C283" s="137" t="s">
        <v>1298</v>
      </c>
      <c r="D283" s="79"/>
      <c r="E283" s="146" t="s">
        <v>87</v>
      </c>
      <c r="F283" s="162">
        <v>7.0</v>
      </c>
      <c r="G283" s="147">
        <v>1.0</v>
      </c>
      <c r="H283" s="146"/>
      <c r="J283" s="116"/>
      <c r="K283" s="17"/>
      <c r="L283" s="254"/>
      <c r="M283" s="16"/>
      <c r="N283" s="16"/>
      <c r="O283" s="17"/>
    </row>
    <row r="284">
      <c r="C284" s="243" t="s">
        <v>38</v>
      </c>
      <c r="D284" s="17"/>
      <c r="E284" s="182"/>
      <c r="F284" s="182"/>
      <c r="G284" s="182">
        <f>SUM(G270:G283)</f>
        <v>14</v>
      </c>
      <c r="H284" s="145"/>
      <c r="J284" s="73" t="s">
        <v>1193</v>
      </c>
      <c r="K284" s="17"/>
      <c r="L284" s="72" t="s">
        <v>78</v>
      </c>
      <c r="M284" s="72" t="s">
        <v>78</v>
      </c>
      <c r="N284" s="72">
        <v>3.0</v>
      </c>
      <c r="O284" s="72"/>
    </row>
    <row r="285">
      <c r="C285" s="245"/>
      <c r="D285" s="245"/>
      <c r="E285" s="245"/>
      <c r="F285" s="245"/>
      <c r="G285" s="245"/>
      <c r="H285" s="245"/>
      <c r="J285" s="73" t="s">
        <v>1195</v>
      </c>
      <c r="K285" s="17"/>
      <c r="L285" s="72" t="s">
        <v>78</v>
      </c>
      <c r="M285" s="72" t="s">
        <v>78</v>
      </c>
      <c r="N285" s="72">
        <v>2.0</v>
      </c>
      <c r="O285" s="72"/>
    </row>
    <row r="286">
      <c r="C286" s="233" t="s">
        <v>58</v>
      </c>
      <c r="D286" s="16"/>
      <c r="E286" s="16"/>
      <c r="F286" s="16"/>
      <c r="G286" s="16"/>
      <c r="H286" s="17"/>
      <c r="J286" s="73"/>
      <c r="K286" s="17"/>
      <c r="L286" s="72"/>
      <c r="M286" s="74" t="s">
        <v>38</v>
      </c>
      <c r="N286" s="74">
        <v>5.0</v>
      </c>
      <c r="O286" s="72"/>
    </row>
    <row r="287">
      <c r="C287" s="233" t="s">
        <v>14</v>
      </c>
      <c r="D287" s="16"/>
      <c r="E287" s="16"/>
      <c r="F287" s="16"/>
      <c r="G287" s="16"/>
      <c r="H287" s="17"/>
      <c r="J287" s="73"/>
      <c r="K287" s="17"/>
      <c r="L287" s="72"/>
      <c r="M287" s="92"/>
      <c r="N287" s="72"/>
      <c r="O287" s="72"/>
    </row>
    <row r="288">
      <c r="C288" s="234" t="s">
        <v>60</v>
      </c>
      <c r="D288" s="79"/>
      <c r="E288" s="235" t="s">
        <v>16</v>
      </c>
      <c r="F288" s="235" t="s">
        <v>17</v>
      </c>
      <c r="G288" s="235" t="s">
        <v>18</v>
      </c>
      <c r="H288" s="236" t="s">
        <v>19</v>
      </c>
      <c r="J288" s="73"/>
      <c r="K288" s="17"/>
      <c r="L288" s="72"/>
      <c r="M288" s="72"/>
      <c r="N288" s="72"/>
      <c r="O288" s="72"/>
    </row>
    <row r="289">
      <c r="C289" s="234" t="s">
        <v>1299</v>
      </c>
      <c r="D289" s="79"/>
      <c r="E289" s="241" t="s">
        <v>1300</v>
      </c>
      <c r="F289" s="34"/>
      <c r="G289" s="34"/>
      <c r="H289" s="79"/>
      <c r="J289" s="73"/>
      <c r="K289" s="17"/>
      <c r="L289" s="72"/>
      <c r="M289" s="72"/>
      <c r="N289" s="72"/>
      <c r="O289" s="72"/>
    </row>
    <row r="290">
      <c r="C290" s="137" t="s">
        <v>572</v>
      </c>
      <c r="D290" s="79"/>
      <c r="E290" s="146" t="s">
        <v>197</v>
      </c>
      <c r="F290" s="146" t="s">
        <v>1301</v>
      </c>
      <c r="G290" s="147">
        <v>1.0</v>
      </c>
      <c r="H290" s="241"/>
      <c r="J290" s="116"/>
      <c r="K290" s="17"/>
      <c r="L290" s="72"/>
      <c r="M290" s="72"/>
      <c r="N290" s="72"/>
      <c r="O290" s="72"/>
    </row>
    <row r="291">
      <c r="C291" s="137" t="s">
        <v>262</v>
      </c>
      <c r="D291" s="79"/>
      <c r="E291" s="146" t="s">
        <v>87</v>
      </c>
      <c r="F291" s="146" t="s">
        <v>1302</v>
      </c>
      <c r="G291" s="147">
        <v>1.0</v>
      </c>
      <c r="H291" s="146"/>
      <c r="J291" s="148"/>
      <c r="K291" s="148"/>
      <c r="L291" s="148"/>
      <c r="M291" s="148"/>
      <c r="N291" s="148"/>
      <c r="O291" s="148"/>
    </row>
    <row r="292">
      <c r="C292" s="137" t="s">
        <v>579</v>
      </c>
      <c r="D292" s="79"/>
      <c r="E292" s="146" t="s">
        <v>197</v>
      </c>
      <c r="F292" s="146" t="s">
        <v>1303</v>
      </c>
      <c r="G292" s="147">
        <v>1.0</v>
      </c>
      <c r="H292" s="146"/>
    </row>
    <row r="293">
      <c r="C293" s="137" t="s">
        <v>1304</v>
      </c>
      <c r="D293" s="79"/>
      <c r="E293" s="146" t="s">
        <v>78</v>
      </c>
      <c r="F293" s="162" t="s">
        <v>78</v>
      </c>
      <c r="G293" s="147">
        <v>1.0</v>
      </c>
      <c r="H293" s="255" t="s">
        <v>1305</v>
      </c>
    </row>
    <row r="294">
      <c r="C294" s="137" t="s">
        <v>74</v>
      </c>
      <c r="D294" s="79"/>
      <c r="E294" s="146" t="s">
        <v>197</v>
      </c>
      <c r="F294" s="162" t="s">
        <v>1186</v>
      </c>
      <c r="G294" s="147">
        <v>1.0</v>
      </c>
      <c r="H294" s="146"/>
      <c r="J294" s="28" t="s">
        <v>58</v>
      </c>
      <c r="K294" s="16"/>
      <c r="L294" s="16"/>
      <c r="M294" s="16"/>
      <c r="N294" s="16"/>
      <c r="O294" s="17"/>
    </row>
    <row r="295">
      <c r="C295" s="137" t="s">
        <v>1306</v>
      </c>
      <c r="D295" s="79"/>
      <c r="E295" s="146" t="s">
        <v>197</v>
      </c>
      <c r="F295" s="162" t="s">
        <v>1307</v>
      </c>
      <c r="G295" s="147">
        <v>1.0</v>
      </c>
      <c r="H295" s="146"/>
      <c r="J295" s="28" t="s">
        <v>14</v>
      </c>
      <c r="K295" s="16"/>
      <c r="L295" s="16"/>
      <c r="M295" s="16"/>
      <c r="N295" s="16"/>
      <c r="O295" s="17"/>
    </row>
    <row r="296">
      <c r="C296" s="137" t="s">
        <v>1308</v>
      </c>
      <c r="D296" s="79"/>
      <c r="E296" s="146" t="s">
        <v>197</v>
      </c>
      <c r="F296" s="162" t="s">
        <v>1309</v>
      </c>
      <c r="G296" s="147">
        <v>1.0</v>
      </c>
      <c r="H296" s="146"/>
      <c r="J296" s="28" t="s">
        <v>60</v>
      </c>
      <c r="K296" s="17"/>
      <c r="L296" s="30" t="s">
        <v>16</v>
      </c>
      <c r="M296" s="30" t="s">
        <v>17</v>
      </c>
      <c r="N296" s="30" t="s">
        <v>18</v>
      </c>
      <c r="O296" s="30" t="s">
        <v>19</v>
      </c>
    </row>
    <row r="297">
      <c r="C297" s="137" t="s">
        <v>1291</v>
      </c>
      <c r="D297" s="79"/>
      <c r="E297" s="146" t="s">
        <v>87</v>
      </c>
      <c r="F297" s="162" t="s">
        <v>1310</v>
      </c>
      <c r="G297" s="147">
        <v>1.0</v>
      </c>
      <c r="H297" s="146"/>
      <c r="J297" s="20" t="s">
        <v>1311</v>
      </c>
      <c r="K297" s="17"/>
      <c r="L297" s="200" t="s">
        <v>875</v>
      </c>
      <c r="M297" s="16"/>
      <c r="N297" s="16"/>
      <c r="O297" s="17"/>
    </row>
    <row r="298">
      <c r="C298" s="137" t="s">
        <v>1292</v>
      </c>
      <c r="D298" s="79"/>
      <c r="E298" s="146" t="s">
        <v>78</v>
      </c>
      <c r="F298" s="146" t="s">
        <v>78</v>
      </c>
      <c r="G298" s="147">
        <v>1.0</v>
      </c>
      <c r="H298" s="146"/>
      <c r="J298" s="25" t="s">
        <v>1312</v>
      </c>
      <c r="K298" s="17"/>
      <c r="L298" s="4" t="s">
        <v>1313</v>
      </c>
      <c r="M298" s="4" t="s">
        <v>1314</v>
      </c>
      <c r="N298" s="4">
        <v>1.0</v>
      </c>
      <c r="O298" s="4"/>
    </row>
    <row r="299">
      <c r="C299" s="137" t="s">
        <v>1292</v>
      </c>
      <c r="D299" s="79"/>
      <c r="E299" s="146" t="s">
        <v>87</v>
      </c>
      <c r="F299" s="146">
        <v>4107.0</v>
      </c>
      <c r="G299" s="147">
        <v>1.0</v>
      </c>
      <c r="H299" s="146"/>
      <c r="J299" s="25" t="s">
        <v>1315</v>
      </c>
      <c r="K299" s="17"/>
      <c r="L299" s="4" t="s">
        <v>1313</v>
      </c>
      <c r="M299" s="4" t="s">
        <v>1316</v>
      </c>
      <c r="N299" s="4">
        <v>1.0</v>
      </c>
      <c r="O299" s="4"/>
    </row>
    <row r="300">
      <c r="C300" s="137" t="s">
        <v>1227</v>
      </c>
      <c r="D300" s="79"/>
      <c r="E300" s="146" t="s">
        <v>78</v>
      </c>
      <c r="F300" s="146" t="s">
        <v>1317</v>
      </c>
      <c r="G300" s="147">
        <v>1.0</v>
      </c>
      <c r="H300" s="146"/>
      <c r="J300" s="25" t="s">
        <v>1318</v>
      </c>
      <c r="K300" s="17"/>
      <c r="L300" s="4" t="s">
        <v>851</v>
      </c>
      <c r="M300" s="4" t="s">
        <v>1319</v>
      </c>
      <c r="N300" s="4">
        <v>2.0</v>
      </c>
      <c r="O300" s="4"/>
    </row>
    <row r="301">
      <c r="C301" s="137" t="s">
        <v>1195</v>
      </c>
      <c r="D301" s="79"/>
      <c r="E301" s="146" t="s">
        <v>87</v>
      </c>
      <c r="F301" s="146" t="s">
        <v>217</v>
      </c>
      <c r="G301" s="147">
        <v>1.0</v>
      </c>
      <c r="H301" s="146"/>
      <c r="J301" s="25" t="s">
        <v>896</v>
      </c>
      <c r="K301" s="17"/>
      <c r="L301" s="4" t="s">
        <v>851</v>
      </c>
      <c r="M301" s="4" t="s">
        <v>1320</v>
      </c>
      <c r="N301" s="4">
        <v>1.0</v>
      </c>
      <c r="O301" s="4"/>
    </row>
    <row r="302">
      <c r="C302" s="137" t="s">
        <v>287</v>
      </c>
      <c r="D302" s="79"/>
      <c r="E302" s="146" t="s">
        <v>1321</v>
      </c>
      <c r="F302" s="146" t="s">
        <v>78</v>
      </c>
      <c r="G302" s="147">
        <v>1.0</v>
      </c>
      <c r="H302" s="146"/>
      <c r="J302" s="25" t="s">
        <v>1322</v>
      </c>
      <c r="K302" s="17"/>
      <c r="L302" s="4" t="s">
        <v>1323</v>
      </c>
      <c r="M302" s="4" t="s">
        <v>187</v>
      </c>
      <c r="N302" s="4">
        <v>1.0</v>
      </c>
      <c r="O302" s="4"/>
    </row>
    <row r="303">
      <c r="C303" s="137" t="s">
        <v>1123</v>
      </c>
      <c r="D303" s="79"/>
      <c r="E303" s="146" t="s">
        <v>87</v>
      </c>
      <c r="F303" s="146" t="s">
        <v>1324</v>
      </c>
      <c r="G303" s="147">
        <v>1.0</v>
      </c>
      <c r="H303" s="146"/>
      <c r="J303" s="25" t="s">
        <v>1325</v>
      </c>
      <c r="K303" s="17"/>
      <c r="L303" s="4" t="s">
        <v>1313</v>
      </c>
      <c r="M303" s="4" t="s">
        <v>1326</v>
      </c>
      <c r="N303" s="4">
        <v>1.0</v>
      </c>
      <c r="O303" s="4"/>
    </row>
    <row r="304">
      <c r="C304" s="137" t="s">
        <v>281</v>
      </c>
      <c r="D304" s="79"/>
      <c r="E304" s="146" t="s">
        <v>78</v>
      </c>
      <c r="F304" s="146" t="s">
        <v>78</v>
      </c>
      <c r="G304" s="147">
        <v>1.0</v>
      </c>
      <c r="H304" s="146"/>
      <c r="J304" s="25" t="s">
        <v>613</v>
      </c>
      <c r="K304" s="17"/>
      <c r="L304" s="4" t="s">
        <v>1313</v>
      </c>
      <c r="M304" s="4" t="s">
        <v>1327</v>
      </c>
      <c r="N304" s="4">
        <v>1.0</v>
      </c>
      <c r="O304" s="4"/>
    </row>
    <row r="305">
      <c r="C305" s="243" t="s">
        <v>38</v>
      </c>
      <c r="D305" s="17"/>
      <c r="E305" s="182"/>
      <c r="F305" s="182"/>
      <c r="G305" s="182">
        <f>SUM(G290:G304)</f>
        <v>15</v>
      </c>
      <c r="H305" s="182"/>
      <c r="J305" s="25" t="s">
        <v>375</v>
      </c>
      <c r="K305" s="17"/>
      <c r="L305" s="4" t="s">
        <v>1313</v>
      </c>
      <c r="M305" s="4" t="s">
        <v>1328</v>
      </c>
      <c r="N305" s="4">
        <v>1.0</v>
      </c>
      <c r="O305" s="4"/>
    </row>
    <row r="306">
      <c r="J306" s="25" t="s">
        <v>180</v>
      </c>
      <c r="K306" s="17"/>
      <c r="L306" s="4" t="s">
        <v>851</v>
      </c>
      <c r="M306" s="46" t="s">
        <v>78</v>
      </c>
      <c r="N306" s="4">
        <v>1.0</v>
      </c>
      <c r="O306" s="4"/>
    </row>
    <row r="307">
      <c r="J307" s="25" t="s">
        <v>934</v>
      </c>
      <c r="K307" s="17"/>
      <c r="L307" s="4" t="s">
        <v>851</v>
      </c>
      <c r="M307" s="4"/>
      <c r="N307" s="4">
        <v>1.0</v>
      </c>
      <c r="O307" s="4"/>
    </row>
    <row r="308">
      <c r="J308" s="25" t="s">
        <v>841</v>
      </c>
      <c r="K308" s="17"/>
      <c r="L308" s="4" t="s">
        <v>75</v>
      </c>
      <c r="M308" s="4" t="s">
        <v>925</v>
      </c>
      <c r="N308" s="4">
        <v>1.0</v>
      </c>
      <c r="O308" s="4"/>
    </row>
    <row r="309">
      <c r="J309" s="25" t="s">
        <v>931</v>
      </c>
      <c r="K309" s="17"/>
      <c r="L309" s="4" t="s">
        <v>78</v>
      </c>
      <c r="M309" s="4" t="s">
        <v>932</v>
      </c>
      <c r="N309" s="4">
        <v>1.0</v>
      </c>
      <c r="O309" s="4"/>
    </row>
    <row r="310">
      <c r="J310" s="25" t="s">
        <v>939</v>
      </c>
      <c r="K310" s="17"/>
      <c r="L310" s="4" t="s">
        <v>78</v>
      </c>
      <c r="M310" s="4" t="s">
        <v>78</v>
      </c>
      <c r="N310" s="4">
        <v>1.0</v>
      </c>
      <c r="O310" s="4"/>
    </row>
    <row r="311">
      <c r="J311" s="25" t="s">
        <v>1329</v>
      </c>
      <c r="K311" s="17"/>
      <c r="L311" s="4" t="s">
        <v>78</v>
      </c>
      <c r="M311" s="4" t="s">
        <v>78</v>
      </c>
      <c r="N311" s="4">
        <v>1.0</v>
      </c>
      <c r="O311" s="4"/>
    </row>
    <row r="312">
      <c r="J312" s="25" t="s">
        <v>1330</v>
      </c>
      <c r="K312" s="17"/>
      <c r="L312" s="4" t="s">
        <v>1331</v>
      </c>
      <c r="M312" s="4" t="s">
        <v>78</v>
      </c>
      <c r="N312" s="4">
        <v>2.0</v>
      </c>
      <c r="O312" s="72"/>
    </row>
    <row r="313">
      <c r="B313" s="28" t="s">
        <v>58</v>
      </c>
      <c r="C313" s="16"/>
      <c r="D313" s="16"/>
      <c r="E313" s="16"/>
      <c r="F313" s="16"/>
      <c r="G313" s="17"/>
      <c r="J313" s="20" t="s">
        <v>38</v>
      </c>
      <c r="K313" s="17"/>
      <c r="L313" s="4"/>
      <c r="M313" s="4"/>
      <c r="N313" s="4">
        <f>SUM(N298:N312)</f>
        <v>17</v>
      </c>
      <c r="O313" s="4"/>
    </row>
    <row r="314">
      <c r="B314" s="28" t="s">
        <v>14</v>
      </c>
      <c r="C314" s="16"/>
      <c r="D314" s="16"/>
      <c r="E314" s="16"/>
      <c r="F314" s="16"/>
      <c r="G314" s="17"/>
    </row>
    <row r="315">
      <c r="B315" s="28" t="s">
        <v>60</v>
      </c>
      <c r="C315" s="17"/>
      <c r="D315" s="30" t="s">
        <v>16</v>
      </c>
      <c r="E315" s="30" t="s">
        <v>17</v>
      </c>
      <c r="F315" s="30" t="s">
        <v>18</v>
      </c>
      <c r="G315" s="30" t="s">
        <v>19</v>
      </c>
      <c r="J315" s="164"/>
      <c r="K315" s="57" t="s">
        <v>58</v>
      </c>
      <c r="L315" s="16"/>
      <c r="M315" s="16"/>
      <c r="N315" s="16"/>
      <c r="O315" s="16"/>
      <c r="P315" s="17"/>
    </row>
    <row r="316">
      <c r="B316" s="217" t="s">
        <v>1332</v>
      </c>
      <c r="C316" s="17"/>
      <c r="D316" s="218" t="s">
        <v>1333</v>
      </c>
      <c r="E316" s="16"/>
      <c r="F316" s="16"/>
      <c r="G316" s="17"/>
      <c r="J316" s="164"/>
      <c r="K316" s="57" t="s">
        <v>14</v>
      </c>
      <c r="L316" s="16"/>
      <c r="M316" s="16"/>
      <c r="N316" s="16"/>
      <c r="O316" s="16"/>
      <c r="P316" s="17"/>
    </row>
    <row r="317">
      <c r="B317" s="73" t="s">
        <v>1334</v>
      </c>
      <c r="C317" s="17"/>
      <c r="D317" s="72" t="s">
        <v>1335</v>
      </c>
      <c r="E317" s="72" t="s">
        <v>78</v>
      </c>
      <c r="F317" s="72">
        <v>2.0</v>
      </c>
      <c r="G317" s="72"/>
      <c r="J317" s="164"/>
      <c r="K317" s="57" t="s">
        <v>60</v>
      </c>
      <c r="L317" s="17"/>
      <c r="M317" s="58" t="s">
        <v>16</v>
      </c>
      <c r="N317" s="58" t="s">
        <v>17</v>
      </c>
      <c r="O317" s="58" t="s">
        <v>18</v>
      </c>
      <c r="P317" s="58" t="s">
        <v>19</v>
      </c>
    </row>
    <row r="318">
      <c r="B318" s="73" t="s">
        <v>702</v>
      </c>
      <c r="C318" s="17"/>
      <c r="D318" s="72" t="s">
        <v>125</v>
      </c>
      <c r="E318" s="72" t="s">
        <v>78</v>
      </c>
      <c r="F318" s="72">
        <v>2.0</v>
      </c>
      <c r="G318" s="72" t="s">
        <v>1336</v>
      </c>
      <c r="J318" s="164"/>
      <c r="K318" s="256" t="s">
        <v>1337</v>
      </c>
      <c r="L318" s="17"/>
      <c r="M318" s="257" t="s">
        <v>1338</v>
      </c>
      <c r="N318" s="16"/>
      <c r="O318" s="16"/>
      <c r="P318" s="17"/>
    </row>
    <row r="319">
      <c r="B319" s="73" t="s">
        <v>90</v>
      </c>
      <c r="C319" s="17"/>
      <c r="D319" s="72" t="s">
        <v>78</v>
      </c>
      <c r="E319" s="72" t="s">
        <v>78</v>
      </c>
      <c r="F319" s="72">
        <v>1.0</v>
      </c>
      <c r="G319" s="72"/>
      <c r="J319" s="164"/>
      <c r="K319" s="115"/>
      <c r="L319" s="17"/>
      <c r="M319" s="91"/>
      <c r="N319" s="91"/>
      <c r="O319" s="122"/>
      <c r="P319" s="91"/>
    </row>
    <row r="320">
      <c r="B320" s="73" t="s">
        <v>524</v>
      </c>
      <c r="C320" s="17"/>
      <c r="D320" s="72" t="s">
        <v>1339</v>
      </c>
      <c r="E320" s="72" t="s">
        <v>78</v>
      </c>
      <c r="F320" s="72">
        <v>1.0</v>
      </c>
      <c r="G320" s="72"/>
      <c r="J320" s="164"/>
      <c r="K320" s="115" t="s">
        <v>702</v>
      </c>
      <c r="L320" s="17"/>
      <c r="M320" s="91" t="s">
        <v>75</v>
      </c>
      <c r="N320" s="91" t="s">
        <v>703</v>
      </c>
      <c r="O320" s="122">
        <v>1.0</v>
      </c>
      <c r="P320" s="91"/>
    </row>
    <row r="321">
      <c r="B321" s="73" t="s">
        <v>425</v>
      </c>
      <c r="C321" s="17"/>
      <c r="D321" s="72" t="s">
        <v>215</v>
      </c>
      <c r="E321" s="72" t="s">
        <v>1340</v>
      </c>
      <c r="F321" s="72">
        <v>2.0</v>
      </c>
      <c r="G321" s="72"/>
      <c r="J321" s="164"/>
      <c r="K321" s="115" t="s">
        <v>1209</v>
      </c>
      <c r="L321" s="17"/>
      <c r="M321" s="91" t="s">
        <v>215</v>
      </c>
      <c r="N321" s="258" t="s">
        <v>1341</v>
      </c>
      <c r="O321" s="122">
        <v>1.0</v>
      </c>
      <c r="P321" s="91"/>
    </row>
    <row r="322">
      <c r="B322" s="73" t="s">
        <v>1342</v>
      </c>
      <c r="C322" s="17"/>
      <c r="D322" s="72" t="s">
        <v>78</v>
      </c>
      <c r="E322" s="72" t="s">
        <v>78</v>
      </c>
      <c r="F322" s="72">
        <v>1.0</v>
      </c>
      <c r="G322" s="72"/>
      <c r="J322" s="164"/>
      <c r="K322" s="115" t="s">
        <v>1292</v>
      </c>
      <c r="L322" s="17"/>
      <c r="M322" s="91" t="s">
        <v>87</v>
      </c>
      <c r="N322" s="91" t="s">
        <v>1343</v>
      </c>
      <c r="O322" s="122">
        <v>1.0</v>
      </c>
      <c r="P322" s="91"/>
    </row>
    <row r="323">
      <c r="B323" s="73" t="s">
        <v>524</v>
      </c>
      <c r="C323" s="17"/>
      <c r="D323" s="72" t="s">
        <v>1344</v>
      </c>
      <c r="E323" s="72" t="s">
        <v>1345</v>
      </c>
      <c r="F323" s="72">
        <v>1.0</v>
      </c>
      <c r="G323" s="72"/>
      <c r="J323" s="164"/>
      <c r="K323" s="115" t="s">
        <v>425</v>
      </c>
      <c r="L323" s="17"/>
      <c r="M323" s="91" t="s">
        <v>87</v>
      </c>
      <c r="N323" s="91" t="s">
        <v>1346</v>
      </c>
      <c r="O323" s="122">
        <v>1.0</v>
      </c>
      <c r="P323" s="91"/>
    </row>
    <row r="324">
      <c r="B324" s="73" t="s">
        <v>425</v>
      </c>
      <c r="C324" s="17"/>
      <c r="D324" s="72" t="s">
        <v>1347</v>
      </c>
      <c r="E324" s="72" t="s">
        <v>1348</v>
      </c>
      <c r="F324" s="72">
        <v>1.0</v>
      </c>
      <c r="G324" s="72"/>
      <c r="J324" s="164"/>
      <c r="K324" s="115" t="s">
        <v>1304</v>
      </c>
      <c r="L324" s="17"/>
      <c r="M324" s="91" t="s">
        <v>87</v>
      </c>
      <c r="N324" s="91" t="s">
        <v>1349</v>
      </c>
      <c r="O324" s="122">
        <v>1.0</v>
      </c>
      <c r="P324" s="91"/>
    </row>
    <row r="325">
      <c r="B325" s="73" t="s">
        <v>206</v>
      </c>
      <c r="C325" s="17"/>
      <c r="D325" s="72" t="s">
        <v>1335</v>
      </c>
      <c r="E325" s="92" t="s">
        <v>78</v>
      </c>
      <c r="F325" s="72">
        <v>3.0</v>
      </c>
      <c r="G325" s="72" t="s">
        <v>1336</v>
      </c>
      <c r="J325" s="164"/>
      <c r="K325" s="115" t="s">
        <v>1304</v>
      </c>
      <c r="L325" s="17"/>
      <c r="M325" s="91" t="s">
        <v>78</v>
      </c>
      <c r="N325" s="91" t="s">
        <v>78</v>
      </c>
      <c r="O325" s="91">
        <v>1.0</v>
      </c>
      <c r="P325" s="91"/>
    </row>
    <row r="326">
      <c r="B326" s="73" t="s">
        <v>1325</v>
      </c>
      <c r="C326" s="17"/>
      <c r="D326" s="72" t="s">
        <v>125</v>
      </c>
      <c r="E326" s="72" t="s">
        <v>78</v>
      </c>
      <c r="F326" s="72">
        <v>2.0</v>
      </c>
      <c r="G326" s="72"/>
      <c r="J326" s="164"/>
      <c r="K326" s="115" t="s">
        <v>1234</v>
      </c>
      <c r="L326" s="17"/>
      <c r="M326" s="91" t="s">
        <v>1350</v>
      </c>
      <c r="N326" s="91" t="s">
        <v>1351</v>
      </c>
      <c r="O326" s="91">
        <v>1.0</v>
      </c>
      <c r="P326" s="91"/>
    </row>
    <row r="327">
      <c r="B327" s="73" t="s">
        <v>1352</v>
      </c>
      <c r="C327" s="17"/>
      <c r="D327" s="72" t="s">
        <v>78</v>
      </c>
      <c r="E327" s="72" t="s">
        <v>78</v>
      </c>
      <c r="F327" s="72">
        <v>1.0</v>
      </c>
      <c r="G327" s="72"/>
      <c r="J327" s="164"/>
      <c r="K327" s="115" t="s">
        <v>1209</v>
      </c>
      <c r="L327" s="17"/>
      <c r="M327" s="91" t="s">
        <v>78</v>
      </c>
      <c r="N327" s="91" t="s">
        <v>78</v>
      </c>
      <c r="O327" s="91">
        <v>3.0</v>
      </c>
      <c r="P327" s="91"/>
    </row>
    <row r="328">
      <c r="B328" s="73" t="s">
        <v>1352</v>
      </c>
      <c r="C328" s="17"/>
      <c r="D328" s="72" t="s">
        <v>87</v>
      </c>
      <c r="E328" s="72" t="s">
        <v>1353</v>
      </c>
      <c r="F328" s="72">
        <v>1.0</v>
      </c>
      <c r="G328" s="72"/>
      <c r="J328" s="164"/>
      <c r="K328" s="41" t="s">
        <v>150</v>
      </c>
      <c r="L328" s="17"/>
      <c r="M328" s="91" t="s">
        <v>87</v>
      </c>
      <c r="N328" s="91" t="s">
        <v>1354</v>
      </c>
      <c r="O328" s="91">
        <v>1.0</v>
      </c>
      <c r="P328" s="91"/>
    </row>
    <row r="329">
      <c r="B329" s="73" t="s">
        <v>1355</v>
      </c>
      <c r="C329" s="17"/>
      <c r="D329" s="72" t="s">
        <v>78</v>
      </c>
      <c r="E329" s="72" t="s">
        <v>78</v>
      </c>
      <c r="F329" s="72">
        <v>1.0</v>
      </c>
      <c r="G329" s="72"/>
      <c r="J329" s="164"/>
      <c r="K329" s="115" t="s">
        <v>1066</v>
      </c>
      <c r="L329" s="17"/>
      <c r="M329" s="91" t="s">
        <v>78</v>
      </c>
      <c r="N329" s="91" t="s">
        <v>78</v>
      </c>
      <c r="O329" s="91">
        <v>1.0</v>
      </c>
      <c r="P329" s="91"/>
    </row>
    <row r="330">
      <c r="B330" s="73" t="s">
        <v>1356</v>
      </c>
      <c r="C330" s="17"/>
      <c r="D330" s="72" t="s">
        <v>78</v>
      </c>
      <c r="E330" s="92" t="s">
        <v>78</v>
      </c>
      <c r="F330" s="72">
        <v>1.0</v>
      </c>
      <c r="G330" s="72"/>
      <c r="J330" s="164"/>
      <c r="K330" s="115" t="s">
        <v>588</v>
      </c>
      <c r="L330" s="17"/>
      <c r="M330" s="91" t="s">
        <v>120</v>
      </c>
      <c r="N330" s="91">
        <v>610300.0</v>
      </c>
      <c r="O330" s="91">
        <v>2.0</v>
      </c>
      <c r="P330" s="91"/>
    </row>
    <row r="331">
      <c r="B331" s="73" t="s">
        <v>1357</v>
      </c>
      <c r="C331" s="17"/>
      <c r="D331" s="72" t="s">
        <v>78</v>
      </c>
      <c r="E331" s="72" t="s">
        <v>78</v>
      </c>
      <c r="F331" s="72">
        <v>1.0</v>
      </c>
      <c r="G331" s="72" t="s">
        <v>1149</v>
      </c>
      <c r="J331" s="164"/>
      <c r="K331" s="115" t="s">
        <v>981</v>
      </c>
      <c r="L331" s="17"/>
      <c r="M331" s="91" t="s">
        <v>78</v>
      </c>
      <c r="N331" s="91" t="s">
        <v>78</v>
      </c>
      <c r="O331" s="91">
        <v>1.0</v>
      </c>
      <c r="P331" s="91"/>
    </row>
    <row r="332">
      <c r="B332" s="116" t="s">
        <v>38</v>
      </c>
      <c r="C332" s="17"/>
      <c r="D332" s="72"/>
      <c r="E332" s="72"/>
      <c r="F332" s="72">
        <v>21.0</v>
      </c>
      <c r="G332" s="72"/>
      <c r="J332" s="164"/>
      <c r="K332" s="115" t="s">
        <v>1358</v>
      </c>
      <c r="L332" s="17"/>
      <c r="M332" s="91" t="s">
        <v>78</v>
      </c>
      <c r="N332" s="91" t="s">
        <v>78</v>
      </c>
      <c r="O332" s="91">
        <v>1.0</v>
      </c>
      <c r="P332" s="91"/>
    </row>
    <row r="333">
      <c r="J333" s="164"/>
      <c r="K333" s="115"/>
      <c r="L333" s="17"/>
      <c r="M333" s="91"/>
      <c r="N333" s="91"/>
      <c r="O333" s="91"/>
      <c r="P333" s="91"/>
    </row>
    <row r="334">
      <c r="J334" s="164"/>
      <c r="K334" s="259" t="s">
        <v>38</v>
      </c>
      <c r="L334" s="17"/>
      <c r="M334" s="91"/>
      <c r="N334" s="91"/>
      <c r="O334" s="122">
        <f>SUM(O319:O333)</f>
        <v>16</v>
      </c>
      <c r="P334" s="91"/>
    </row>
    <row r="340">
      <c r="B340" s="28" t="s">
        <v>58</v>
      </c>
      <c r="C340" s="16"/>
      <c r="D340" s="16"/>
      <c r="E340" s="16"/>
      <c r="F340" s="16"/>
      <c r="G340" s="17"/>
      <c r="J340" s="28" t="s">
        <v>58</v>
      </c>
      <c r="K340" s="16"/>
      <c r="L340" s="16"/>
      <c r="M340" s="16"/>
      <c r="N340" s="16"/>
      <c r="O340" s="17"/>
    </row>
    <row r="341">
      <c r="B341" s="28" t="s">
        <v>14</v>
      </c>
      <c r="C341" s="16"/>
      <c r="D341" s="16"/>
      <c r="E341" s="16"/>
      <c r="F341" s="16"/>
      <c r="G341" s="17"/>
      <c r="J341" s="28" t="s">
        <v>14</v>
      </c>
      <c r="K341" s="16"/>
      <c r="L341" s="16"/>
      <c r="M341" s="16"/>
      <c r="N341" s="16"/>
      <c r="O341" s="17"/>
    </row>
    <row r="342">
      <c r="B342" s="28" t="s">
        <v>60</v>
      </c>
      <c r="C342" s="17"/>
      <c r="D342" s="30" t="s">
        <v>16</v>
      </c>
      <c r="E342" s="30" t="s">
        <v>17</v>
      </c>
      <c r="F342" s="30" t="s">
        <v>18</v>
      </c>
      <c r="G342" s="30" t="s">
        <v>19</v>
      </c>
      <c r="J342" s="28" t="s">
        <v>60</v>
      </c>
      <c r="K342" s="17"/>
      <c r="L342" s="30" t="s">
        <v>16</v>
      </c>
      <c r="M342" s="30" t="s">
        <v>17</v>
      </c>
      <c r="N342" s="30" t="s">
        <v>18</v>
      </c>
      <c r="O342" s="30" t="s">
        <v>19</v>
      </c>
    </row>
    <row r="343">
      <c r="B343" s="217" t="s">
        <v>1359</v>
      </c>
      <c r="C343" s="17"/>
      <c r="D343" s="218"/>
      <c r="E343" s="16"/>
      <c r="F343" s="16"/>
      <c r="G343" s="17"/>
      <c r="J343" s="217" t="s">
        <v>1360</v>
      </c>
      <c r="K343" s="17"/>
      <c r="L343" s="218" t="s">
        <v>921</v>
      </c>
      <c r="M343" s="16"/>
      <c r="N343" s="16"/>
      <c r="O343" s="17"/>
    </row>
    <row r="344">
      <c r="B344" s="73" t="s">
        <v>1361</v>
      </c>
      <c r="C344" s="17"/>
      <c r="D344" s="204" t="s">
        <v>78</v>
      </c>
      <c r="E344" s="204" t="s">
        <v>78</v>
      </c>
      <c r="F344" s="72">
        <v>1.0</v>
      </c>
      <c r="G344" s="72"/>
      <c r="J344" s="73" t="s">
        <v>1362</v>
      </c>
      <c r="K344" s="17"/>
      <c r="L344" s="72" t="s">
        <v>78</v>
      </c>
      <c r="M344" s="72" t="s">
        <v>78</v>
      </c>
      <c r="N344" s="72">
        <v>2.0</v>
      </c>
      <c r="O344" s="72"/>
    </row>
    <row r="345">
      <c r="B345" s="73" t="s">
        <v>1363</v>
      </c>
      <c r="C345" s="17"/>
      <c r="D345" s="204" t="s">
        <v>87</v>
      </c>
      <c r="E345" s="204" t="s">
        <v>292</v>
      </c>
      <c r="F345" s="72">
        <v>1.0</v>
      </c>
      <c r="G345" s="72"/>
      <c r="J345" s="73" t="s">
        <v>412</v>
      </c>
      <c r="K345" s="17"/>
      <c r="L345" s="72" t="s">
        <v>78</v>
      </c>
      <c r="M345" s="72" t="s">
        <v>78</v>
      </c>
      <c r="N345" s="72">
        <v>2.0</v>
      </c>
      <c r="O345" s="72"/>
    </row>
    <row r="346">
      <c r="B346" s="73" t="s">
        <v>146</v>
      </c>
      <c r="C346" s="17"/>
      <c r="D346" s="204" t="s">
        <v>951</v>
      </c>
      <c r="E346" s="204">
        <v>4205.0</v>
      </c>
      <c r="F346" s="72">
        <v>1.0</v>
      </c>
      <c r="G346" s="72"/>
      <c r="J346" s="73" t="s">
        <v>1209</v>
      </c>
      <c r="K346" s="17"/>
      <c r="L346" s="72" t="s">
        <v>78</v>
      </c>
      <c r="M346" s="72" t="s">
        <v>78</v>
      </c>
      <c r="N346" s="72">
        <v>1.0</v>
      </c>
      <c r="O346" s="72"/>
    </row>
    <row r="347">
      <c r="B347" s="73" t="s">
        <v>311</v>
      </c>
      <c r="C347" s="17"/>
      <c r="D347" s="204" t="s">
        <v>78</v>
      </c>
      <c r="E347" s="204" t="s">
        <v>78</v>
      </c>
      <c r="F347" s="72">
        <v>1.0</v>
      </c>
      <c r="G347" s="72"/>
      <c r="J347" s="73" t="s">
        <v>425</v>
      </c>
      <c r="K347" s="17"/>
      <c r="L347" s="72" t="s">
        <v>78</v>
      </c>
      <c r="M347" s="72" t="s">
        <v>78</v>
      </c>
      <c r="N347" s="72">
        <v>1.0</v>
      </c>
      <c r="O347" s="72"/>
    </row>
    <row r="348">
      <c r="B348" s="73" t="s">
        <v>311</v>
      </c>
      <c r="C348" s="17"/>
      <c r="D348" s="204" t="s">
        <v>1364</v>
      </c>
      <c r="E348" s="204" t="s">
        <v>1365</v>
      </c>
      <c r="F348" s="72">
        <v>1.0</v>
      </c>
      <c r="G348" s="72"/>
      <c r="J348" s="73" t="s">
        <v>247</v>
      </c>
      <c r="K348" s="17"/>
      <c r="L348" s="72" t="s">
        <v>78</v>
      </c>
      <c r="M348" s="72" t="s">
        <v>78</v>
      </c>
      <c r="N348" s="72">
        <v>1.0</v>
      </c>
      <c r="O348" s="72"/>
    </row>
    <row r="349">
      <c r="B349" s="73" t="s">
        <v>1366</v>
      </c>
      <c r="C349" s="17"/>
      <c r="D349" s="204" t="s">
        <v>87</v>
      </c>
      <c r="E349" s="260" t="s">
        <v>1367</v>
      </c>
      <c r="F349" s="72">
        <v>1.0</v>
      </c>
      <c r="G349" s="72"/>
      <c r="J349" s="73" t="s">
        <v>524</v>
      </c>
      <c r="K349" s="17"/>
      <c r="L349" s="72" t="s">
        <v>78</v>
      </c>
      <c r="M349" s="72" t="s">
        <v>78</v>
      </c>
      <c r="N349" s="72">
        <v>1.0</v>
      </c>
      <c r="O349" s="72"/>
    </row>
    <row r="350">
      <c r="B350" s="73" t="s">
        <v>1234</v>
      </c>
      <c r="C350" s="17"/>
      <c r="D350" s="204" t="s">
        <v>87</v>
      </c>
      <c r="E350" s="204" t="s">
        <v>888</v>
      </c>
      <c r="F350" s="72">
        <v>1.0</v>
      </c>
      <c r="G350" s="72"/>
      <c r="J350" s="73" t="s">
        <v>1368</v>
      </c>
      <c r="K350" s="17"/>
      <c r="L350" s="72" t="s">
        <v>78</v>
      </c>
      <c r="M350" s="72" t="s">
        <v>78</v>
      </c>
      <c r="N350" s="72">
        <v>1.0</v>
      </c>
      <c r="O350" s="72"/>
    </row>
    <row r="351">
      <c r="B351" s="73" t="s">
        <v>1369</v>
      </c>
      <c r="C351" s="17"/>
      <c r="D351" s="72" t="s">
        <v>78</v>
      </c>
      <c r="E351" s="72" t="s">
        <v>78</v>
      </c>
      <c r="F351" s="72">
        <v>1.0</v>
      </c>
      <c r="G351" s="72"/>
      <c r="J351" s="72" t="s">
        <v>38</v>
      </c>
      <c r="K351" s="72"/>
      <c r="L351" s="72"/>
      <c r="M351" s="72"/>
      <c r="N351" s="72">
        <f>SUM(N344:N350)</f>
        <v>9</v>
      </c>
      <c r="O351" s="72"/>
    </row>
    <row r="352">
      <c r="B352" s="73" t="s">
        <v>1370</v>
      </c>
      <c r="C352" s="17"/>
      <c r="D352" s="72" t="s">
        <v>78</v>
      </c>
      <c r="E352" s="72" t="s">
        <v>78</v>
      </c>
      <c r="F352" s="72">
        <v>1.0</v>
      </c>
      <c r="G352" s="72"/>
    </row>
    <row r="353">
      <c r="B353" s="116" t="s">
        <v>38</v>
      </c>
      <c r="C353" s="17"/>
      <c r="D353" s="72"/>
      <c r="E353" s="72"/>
      <c r="F353" s="72">
        <f>SUM(F343:F352)</f>
        <v>9</v>
      </c>
      <c r="G353" s="72"/>
    </row>
    <row r="357">
      <c r="B357" s="28" t="s">
        <v>58</v>
      </c>
      <c r="C357" s="16"/>
      <c r="D357" s="16"/>
      <c r="E357" s="16"/>
      <c r="F357" s="16"/>
      <c r="G357" s="17"/>
      <c r="J357" s="28" t="s">
        <v>58</v>
      </c>
      <c r="K357" s="16"/>
      <c r="L357" s="16"/>
      <c r="M357" s="16"/>
      <c r="N357" s="16"/>
      <c r="O357" s="17"/>
    </row>
    <row r="358">
      <c r="B358" s="28" t="s">
        <v>14</v>
      </c>
      <c r="C358" s="16"/>
      <c r="D358" s="16"/>
      <c r="E358" s="16"/>
      <c r="F358" s="16"/>
      <c r="G358" s="17"/>
      <c r="J358" s="28" t="s">
        <v>14</v>
      </c>
      <c r="K358" s="16"/>
      <c r="L358" s="16"/>
      <c r="M358" s="16"/>
      <c r="N358" s="16"/>
      <c r="O358" s="17"/>
    </row>
    <row r="359">
      <c r="B359" s="57" t="s">
        <v>60</v>
      </c>
      <c r="C359" s="17"/>
      <c r="D359" s="58" t="s">
        <v>16</v>
      </c>
      <c r="E359" s="58" t="s">
        <v>17</v>
      </c>
      <c r="F359" s="58" t="s">
        <v>18</v>
      </c>
      <c r="G359" s="58" t="s">
        <v>19</v>
      </c>
      <c r="J359" s="57" t="s">
        <v>60</v>
      </c>
      <c r="K359" s="17"/>
      <c r="L359" s="58" t="s">
        <v>16</v>
      </c>
      <c r="M359" s="58" t="s">
        <v>17</v>
      </c>
      <c r="N359" s="58" t="s">
        <v>18</v>
      </c>
      <c r="O359" s="58" t="s">
        <v>19</v>
      </c>
    </row>
    <row r="360">
      <c r="B360" s="32" t="s">
        <v>1371</v>
      </c>
      <c r="C360" s="17"/>
      <c r="D360" s="18" t="s">
        <v>638</v>
      </c>
      <c r="E360" s="16"/>
      <c r="F360" s="16"/>
      <c r="G360" s="17"/>
      <c r="J360" s="32" t="s">
        <v>1372</v>
      </c>
      <c r="K360" s="17"/>
      <c r="L360" s="18"/>
      <c r="M360" s="16"/>
      <c r="N360" s="16"/>
      <c r="O360" s="17"/>
    </row>
    <row r="361">
      <c r="B361" s="39" t="s">
        <v>74</v>
      </c>
      <c r="C361" s="17"/>
      <c r="D361" s="42" t="s">
        <v>234</v>
      </c>
      <c r="E361" s="176">
        <v>22007.0</v>
      </c>
      <c r="F361" s="40">
        <v>1.0</v>
      </c>
      <c r="G361" s="40"/>
      <c r="J361" s="39" t="s">
        <v>175</v>
      </c>
      <c r="K361" s="17"/>
      <c r="L361" s="40" t="s">
        <v>176</v>
      </c>
      <c r="M361" s="40" t="s">
        <v>1373</v>
      </c>
      <c r="N361" s="40">
        <v>2.0</v>
      </c>
      <c r="O361" s="40"/>
    </row>
    <row r="362">
      <c r="B362" s="39" t="s">
        <v>586</v>
      </c>
      <c r="C362" s="17"/>
      <c r="D362" s="42" t="s">
        <v>197</v>
      </c>
      <c r="E362" s="42" t="s">
        <v>1374</v>
      </c>
      <c r="F362" s="40">
        <v>1.0</v>
      </c>
      <c r="G362" s="40"/>
      <c r="J362" s="39" t="s">
        <v>1375</v>
      </c>
      <c r="K362" s="17"/>
      <c r="L362" s="40" t="s">
        <v>87</v>
      </c>
      <c r="M362" s="40" t="s">
        <v>1354</v>
      </c>
      <c r="N362" s="40">
        <v>1.0</v>
      </c>
      <c r="O362" s="40"/>
    </row>
    <row r="363">
      <c r="B363" s="39" t="s">
        <v>1376</v>
      </c>
      <c r="C363" s="17"/>
      <c r="D363" s="204" t="s">
        <v>78</v>
      </c>
      <c r="E363" s="204" t="s">
        <v>78</v>
      </c>
      <c r="F363" s="40">
        <v>2.0</v>
      </c>
      <c r="G363" s="40"/>
      <c r="J363" s="25" t="s">
        <v>90</v>
      </c>
      <c r="K363" s="17"/>
      <c r="L363" s="4" t="s">
        <v>78</v>
      </c>
      <c r="M363" s="4" t="s">
        <v>78</v>
      </c>
      <c r="N363" s="4">
        <v>1.0</v>
      </c>
      <c r="O363" s="4"/>
    </row>
    <row r="364">
      <c r="B364" s="39" t="s">
        <v>1377</v>
      </c>
      <c r="C364" s="17"/>
      <c r="D364" s="42"/>
      <c r="E364" s="42"/>
      <c r="F364" s="40">
        <v>2.0</v>
      </c>
      <c r="G364" s="40"/>
      <c r="J364" s="25" t="s">
        <v>1378</v>
      </c>
      <c r="K364" s="17"/>
      <c r="L364" s="4" t="s">
        <v>1379</v>
      </c>
      <c r="M364" s="4">
        <v>8005017.0</v>
      </c>
      <c r="N364" s="4">
        <v>1.0</v>
      </c>
      <c r="O364" s="4"/>
    </row>
    <row r="365">
      <c r="B365" s="39" t="s">
        <v>1380</v>
      </c>
      <c r="C365" s="17"/>
      <c r="D365" s="42" t="s">
        <v>234</v>
      </c>
      <c r="E365" s="42" t="s">
        <v>1235</v>
      </c>
      <c r="F365" s="40">
        <v>1.0</v>
      </c>
      <c r="G365" s="40"/>
      <c r="J365" s="20" t="s">
        <v>38</v>
      </c>
      <c r="K365" s="17"/>
      <c r="L365" s="4"/>
      <c r="M365" s="4"/>
      <c r="N365" s="4">
        <v>5.0</v>
      </c>
      <c r="O365" s="4"/>
    </row>
    <row r="366">
      <c r="B366" s="20" t="s">
        <v>38</v>
      </c>
      <c r="C366" s="17"/>
      <c r="D366" s="72"/>
      <c r="E366" s="72"/>
      <c r="F366" s="4">
        <v>7.0</v>
      </c>
      <c r="G366" s="4"/>
    </row>
    <row r="369">
      <c r="B369" s="261"/>
      <c r="C369" s="261"/>
      <c r="D369" s="261"/>
      <c r="E369" s="261"/>
      <c r="F369" s="261"/>
      <c r="G369" s="261"/>
      <c r="I369" s="28" t="s">
        <v>58</v>
      </c>
      <c r="J369" s="16"/>
      <c r="K369" s="16"/>
      <c r="L369" s="16"/>
      <c r="M369" s="16"/>
      <c r="N369" s="17"/>
    </row>
    <row r="370">
      <c r="B370" s="28" t="s">
        <v>58</v>
      </c>
      <c r="C370" s="16"/>
      <c r="D370" s="16"/>
      <c r="E370" s="16"/>
      <c r="F370" s="16"/>
      <c r="G370" s="17"/>
      <c r="I370" s="28" t="s">
        <v>14</v>
      </c>
      <c r="J370" s="16"/>
      <c r="K370" s="16"/>
      <c r="L370" s="16"/>
      <c r="M370" s="16"/>
      <c r="N370" s="17"/>
    </row>
    <row r="371">
      <c r="B371" s="28" t="s">
        <v>14</v>
      </c>
      <c r="C371" s="16"/>
      <c r="D371" s="16"/>
      <c r="E371" s="16"/>
      <c r="F371" s="16"/>
      <c r="G371" s="17"/>
      <c r="I371" s="57" t="s">
        <v>60</v>
      </c>
      <c r="J371" s="17"/>
      <c r="K371" s="58" t="s">
        <v>16</v>
      </c>
      <c r="L371" s="58" t="s">
        <v>17</v>
      </c>
      <c r="M371" s="58" t="s">
        <v>18</v>
      </c>
      <c r="N371" s="58" t="s">
        <v>19</v>
      </c>
    </row>
    <row r="372">
      <c r="B372" s="57" t="s">
        <v>60</v>
      </c>
      <c r="C372" s="17"/>
      <c r="D372" s="58" t="s">
        <v>16</v>
      </c>
      <c r="E372" s="58" t="s">
        <v>17</v>
      </c>
      <c r="F372" s="58" t="s">
        <v>18</v>
      </c>
      <c r="G372" s="58" t="s">
        <v>19</v>
      </c>
      <c r="I372" s="37" t="s">
        <v>1381</v>
      </c>
      <c r="J372" s="17"/>
      <c r="K372" s="108" t="s">
        <v>1382</v>
      </c>
      <c r="L372" s="108"/>
      <c r="M372" s="108"/>
      <c r="N372" s="108"/>
    </row>
    <row r="373">
      <c r="B373" s="32" t="s">
        <v>1383</v>
      </c>
      <c r="C373" s="17"/>
      <c r="D373" s="18"/>
      <c r="E373" s="16"/>
      <c r="F373" s="16"/>
      <c r="G373" s="17"/>
      <c r="I373" s="87" t="s">
        <v>1384</v>
      </c>
      <c r="J373" s="17"/>
      <c r="K373" s="108" t="s">
        <v>78</v>
      </c>
      <c r="L373" s="108" t="s">
        <v>1385</v>
      </c>
      <c r="M373" s="109">
        <v>2.0</v>
      </c>
      <c r="N373" s="108"/>
    </row>
    <row r="374">
      <c r="B374" s="39" t="s">
        <v>1386</v>
      </c>
      <c r="C374" s="17"/>
      <c r="D374" s="40" t="s">
        <v>1387</v>
      </c>
      <c r="E374" s="40" t="s">
        <v>1388</v>
      </c>
      <c r="F374" s="40">
        <v>1.0</v>
      </c>
      <c r="G374" s="40"/>
      <c r="I374" s="20" t="s">
        <v>38</v>
      </c>
      <c r="J374" s="17"/>
      <c r="K374" s="4"/>
      <c r="L374" s="4"/>
      <c r="M374" s="4">
        <v>2.0</v>
      </c>
      <c r="N374" s="4"/>
    </row>
    <row r="375">
      <c r="B375" s="39" t="s">
        <v>199</v>
      </c>
      <c r="C375" s="17"/>
      <c r="D375" s="40" t="s">
        <v>1389</v>
      </c>
      <c r="E375" s="40" t="s">
        <v>1390</v>
      </c>
      <c r="F375" s="40">
        <v>1.0</v>
      </c>
      <c r="G375" s="40"/>
    </row>
    <row r="376">
      <c r="B376" s="25" t="s">
        <v>175</v>
      </c>
      <c r="C376" s="17"/>
      <c r="D376" s="4" t="s">
        <v>75</v>
      </c>
      <c r="E376" s="4" t="s">
        <v>1391</v>
      </c>
      <c r="F376" s="4">
        <v>1.0</v>
      </c>
      <c r="G376" s="4"/>
    </row>
    <row r="377">
      <c r="B377" s="20" t="s">
        <v>38</v>
      </c>
      <c r="C377" s="17"/>
      <c r="D377" s="4"/>
      <c r="E377" s="4"/>
      <c r="F377" s="4">
        <v>3.0</v>
      </c>
      <c r="G377" s="4"/>
      <c r="J377" s="28" t="s">
        <v>58</v>
      </c>
      <c r="K377" s="16"/>
      <c r="L377" s="16"/>
      <c r="M377" s="16"/>
      <c r="N377" s="16"/>
      <c r="O377" s="17"/>
    </row>
    <row r="378">
      <c r="J378" s="28" t="s">
        <v>14</v>
      </c>
      <c r="K378" s="16"/>
      <c r="L378" s="16"/>
      <c r="M378" s="16"/>
      <c r="N378" s="16"/>
      <c r="O378" s="17"/>
    </row>
    <row r="379">
      <c r="B379" s="28" t="s">
        <v>58</v>
      </c>
      <c r="C379" s="16"/>
      <c r="D379" s="16"/>
      <c r="E379" s="16"/>
      <c r="F379" s="16"/>
      <c r="G379" s="17"/>
      <c r="J379" s="28" t="s">
        <v>60</v>
      </c>
      <c r="K379" s="17"/>
      <c r="L379" s="30" t="s">
        <v>16</v>
      </c>
      <c r="M379" s="30" t="s">
        <v>17</v>
      </c>
      <c r="N379" s="30" t="s">
        <v>18</v>
      </c>
      <c r="O379" s="30" t="s">
        <v>19</v>
      </c>
    </row>
    <row r="380">
      <c r="B380" s="28" t="s">
        <v>14</v>
      </c>
      <c r="C380" s="16"/>
      <c r="D380" s="16"/>
      <c r="E380" s="16"/>
      <c r="F380" s="16"/>
      <c r="G380" s="17"/>
      <c r="J380" s="20" t="s">
        <v>1392</v>
      </c>
      <c r="K380" s="17"/>
      <c r="L380" s="200"/>
      <c r="M380" s="16"/>
      <c r="N380" s="16"/>
      <c r="O380" s="17"/>
    </row>
    <row r="381">
      <c r="B381" s="57" t="s">
        <v>60</v>
      </c>
      <c r="C381" s="17"/>
      <c r="D381" s="58" t="s">
        <v>16</v>
      </c>
      <c r="E381" s="58" t="s">
        <v>17</v>
      </c>
      <c r="F381" s="58" t="s">
        <v>18</v>
      </c>
      <c r="G381" s="58" t="s">
        <v>19</v>
      </c>
      <c r="J381" s="25" t="s">
        <v>1393</v>
      </c>
      <c r="K381" s="17"/>
      <c r="L381" s="4" t="s">
        <v>1079</v>
      </c>
      <c r="M381" s="4">
        <v>19019.0</v>
      </c>
      <c r="N381" s="4">
        <v>1.0</v>
      </c>
      <c r="O381" s="4"/>
    </row>
    <row r="382">
      <c r="B382" s="37" t="s">
        <v>1394</v>
      </c>
      <c r="C382" s="17"/>
      <c r="D382" s="108"/>
      <c r="E382" s="108"/>
      <c r="F382" s="108"/>
      <c r="G382" s="108"/>
      <c r="J382" s="25" t="s">
        <v>834</v>
      </c>
      <c r="K382" s="17"/>
      <c r="L382" s="4" t="s">
        <v>234</v>
      </c>
      <c r="M382" s="4" t="s">
        <v>1395</v>
      </c>
      <c r="N382" s="4">
        <v>1.0</v>
      </c>
      <c r="O382" s="4"/>
    </row>
    <row r="383">
      <c r="B383" s="87" t="s">
        <v>1396</v>
      </c>
      <c r="C383" s="17"/>
      <c r="D383" s="108" t="s">
        <v>78</v>
      </c>
      <c r="E383" s="108" t="s">
        <v>1397</v>
      </c>
      <c r="F383" s="109">
        <v>1.0</v>
      </c>
      <c r="G383" s="108"/>
      <c r="J383" s="25" t="s">
        <v>836</v>
      </c>
      <c r="K383" s="17"/>
      <c r="L383" s="4" t="s">
        <v>234</v>
      </c>
      <c r="M383" s="4" t="s">
        <v>1398</v>
      </c>
      <c r="N383" s="4">
        <v>1.0</v>
      </c>
      <c r="O383" s="4"/>
    </row>
    <row r="384">
      <c r="B384" s="20" t="s">
        <v>38</v>
      </c>
      <c r="C384" s="17"/>
      <c r="D384" s="4"/>
      <c r="E384" s="4"/>
      <c r="F384" s="4">
        <v>1.0</v>
      </c>
      <c r="G384" s="4"/>
      <c r="J384" s="25" t="s">
        <v>840</v>
      </c>
      <c r="K384" s="17"/>
      <c r="L384" s="4" t="s">
        <v>1399</v>
      </c>
      <c r="M384" s="46" t="s">
        <v>1400</v>
      </c>
      <c r="N384" s="4">
        <v>3.0</v>
      </c>
      <c r="O384" s="4"/>
    </row>
    <row r="385">
      <c r="J385" s="25" t="s">
        <v>1401</v>
      </c>
      <c r="K385" s="17"/>
      <c r="L385" s="4" t="s">
        <v>845</v>
      </c>
      <c r="M385" s="4" t="s">
        <v>78</v>
      </c>
      <c r="N385" s="4">
        <v>1.0</v>
      </c>
      <c r="O385" s="4"/>
    </row>
    <row r="386">
      <c r="J386" s="25" t="s">
        <v>1402</v>
      </c>
      <c r="K386" s="17"/>
      <c r="L386" s="4" t="s">
        <v>868</v>
      </c>
      <c r="M386" s="4" t="s">
        <v>78</v>
      </c>
      <c r="N386" s="4">
        <v>2.0</v>
      </c>
      <c r="O386" s="4"/>
    </row>
    <row r="387">
      <c r="B387" s="28" t="s">
        <v>58</v>
      </c>
      <c r="C387" s="16"/>
      <c r="D387" s="16"/>
      <c r="E387" s="16"/>
      <c r="F387" s="16"/>
      <c r="G387" s="17"/>
      <c r="J387" s="20" t="s">
        <v>38</v>
      </c>
      <c r="K387" s="17"/>
      <c r="L387" s="4"/>
      <c r="M387" s="4"/>
      <c r="N387" s="4">
        <f>SUM(N381:N386)</f>
        <v>9</v>
      </c>
      <c r="O387" s="4"/>
    </row>
    <row r="388">
      <c r="B388" s="28" t="s">
        <v>14</v>
      </c>
      <c r="C388" s="16"/>
      <c r="D388" s="16"/>
      <c r="E388" s="16"/>
      <c r="F388" s="16"/>
      <c r="G388" s="17"/>
    </row>
    <row r="389">
      <c r="B389" s="57" t="s">
        <v>60</v>
      </c>
      <c r="C389" s="17"/>
      <c r="D389" s="58" t="s">
        <v>16</v>
      </c>
      <c r="E389" s="58" t="s">
        <v>17</v>
      </c>
      <c r="F389" s="58" t="s">
        <v>18</v>
      </c>
      <c r="G389" s="58" t="s">
        <v>19</v>
      </c>
    </row>
    <row r="390">
      <c r="B390" s="37" t="s">
        <v>1403</v>
      </c>
      <c r="C390" s="17"/>
      <c r="D390" s="108"/>
      <c r="E390" s="108"/>
      <c r="F390" s="108"/>
      <c r="G390" s="108"/>
    </row>
    <row r="391">
      <c r="B391" s="87" t="s">
        <v>1404</v>
      </c>
      <c r="C391" s="17"/>
      <c r="D391" s="108" t="s">
        <v>338</v>
      </c>
      <c r="E391" s="108" t="s">
        <v>607</v>
      </c>
      <c r="F391" s="109">
        <v>1.0</v>
      </c>
      <c r="G391" s="108"/>
    </row>
    <row r="392">
      <c r="B392" s="87" t="s">
        <v>1405</v>
      </c>
      <c r="C392" s="17"/>
      <c r="D392" s="108" t="s">
        <v>338</v>
      </c>
      <c r="E392" s="108" t="s">
        <v>585</v>
      </c>
      <c r="F392" s="109">
        <v>1.0</v>
      </c>
      <c r="G392" s="108"/>
    </row>
    <row r="393">
      <c r="B393" s="20" t="s">
        <v>38</v>
      </c>
      <c r="C393" s="17"/>
      <c r="D393" s="4"/>
      <c r="E393" s="4"/>
      <c r="F393" s="4">
        <v>2.0</v>
      </c>
      <c r="G393" s="4"/>
    </row>
    <row r="396">
      <c r="B396" s="28" t="s">
        <v>58</v>
      </c>
      <c r="C396" s="16"/>
      <c r="D396" s="16"/>
      <c r="E396" s="16"/>
      <c r="F396" s="16"/>
      <c r="G396" s="17"/>
    </row>
    <row r="397">
      <c r="B397" s="28" t="s">
        <v>14</v>
      </c>
      <c r="C397" s="16"/>
      <c r="D397" s="16"/>
      <c r="E397" s="16"/>
      <c r="F397" s="16"/>
      <c r="G397" s="17"/>
    </row>
    <row r="398">
      <c r="B398" s="57" t="s">
        <v>60</v>
      </c>
      <c r="C398" s="17"/>
      <c r="D398" s="58" t="s">
        <v>16</v>
      </c>
      <c r="E398" s="58" t="s">
        <v>17</v>
      </c>
      <c r="F398" s="58" t="s">
        <v>18</v>
      </c>
      <c r="G398" s="58" t="s">
        <v>19</v>
      </c>
    </row>
    <row r="399">
      <c r="B399" s="37" t="s">
        <v>1406</v>
      </c>
      <c r="C399" s="17"/>
      <c r="D399" s="108"/>
      <c r="E399" s="108"/>
      <c r="F399" s="108"/>
      <c r="G399" s="108"/>
    </row>
    <row r="400">
      <c r="B400" s="87" t="s">
        <v>1407</v>
      </c>
      <c r="C400" s="17"/>
      <c r="D400" s="108" t="s">
        <v>78</v>
      </c>
      <c r="E400" s="108" t="s">
        <v>78</v>
      </c>
      <c r="F400" s="109">
        <v>2.0</v>
      </c>
      <c r="G400" s="108"/>
    </row>
    <row r="401">
      <c r="B401" s="87" t="s">
        <v>1195</v>
      </c>
      <c r="C401" s="17"/>
      <c r="D401" s="108" t="s">
        <v>78</v>
      </c>
      <c r="E401" s="108" t="s">
        <v>78</v>
      </c>
      <c r="F401" s="109">
        <v>3.0</v>
      </c>
      <c r="G401" s="108"/>
    </row>
    <row r="402">
      <c r="B402" s="87" t="s">
        <v>1195</v>
      </c>
      <c r="C402" s="17"/>
      <c r="D402" s="108" t="s">
        <v>87</v>
      </c>
      <c r="E402" s="108" t="s">
        <v>217</v>
      </c>
      <c r="F402" s="109">
        <v>1.0</v>
      </c>
      <c r="G402" s="108"/>
    </row>
    <row r="403">
      <c r="B403" s="87" t="s">
        <v>981</v>
      </c>
      <c r="C403" s="17"/>
      <c r="D403" s="108" t="s">
        <v>78</v>
      </c>
      <c r="E403" s="108" t="s">
        <v>78</v>
      </c>
      <c r="F403" s="109">
        <v>1.0</v>
      </c>
      <c r="G403" s="108"/>
    </row>
    <row r="404">
      <c r="B404" s="87" t="s">
        <v>283</v>
      </c>
      <c r="C404" s="17"/>
      <c r="D404" s="108" t="s">
        <v>87</v>
      </c>
      <c r="E404" s="108" t="s">
        <v>292</v>
      </c>
      <c r="F404" s="109">
        <v>1.0</v>
      </c>
      <c r="G404" s="108"/>
    </row>
    <row r="405">
      <c r="B405" s="87" t="s">
        <v>981</v>
      </c>
      <c r="C405" s="17"/>
      <c r="D405" s="108" t="s">
        <v>87</v>
      </c>
      <c r="E405" s="112" t="s">
        <v>1237</v>
      </c>
      <c r="F405" s="109">
        <v>1.0</v>
      </c>
      <c r="G405" s="108"/>
    </row>
    <row r="406">
      <c r="B406" s="87" t="s">
        <v>1408</v>
      </c>
      <c r="C406" s="17"/>
      <c r="D406" s="108" t="s">
        <v>87</v>
      </c>
      <c r="E406" s="108" t="s">
        <v>1409</v>
      </c>
      <c r="F406" s="109">
        <v>1.0</v>
      </c>
      <c r="G406" s="108"/>
    </row>
    <row r="407">
      <c r="B407" s="87" t="s">
        <v>199</v>
      </c>
      <c r="C407" s="17"/>
      <c r="D407" s="108" t="s">
        <v>87</v>
      </c>
      <c r="E407" s="108" t="s">
        <v>300</v>
      </c>
      <c r="F407" s="109">
        <v>1.0</v>
      </c>
      <c r="G407" s="108"/>
    </row>
    <row r="408">
      <c r="B408" s="87" t="s">
        <v>1410</v>
      </c>
      <c r="C408" s="17"/>
      <c r="D408" s="108" t="s">
        <v>87</v>
      </c>
      <c r="E408" s="108" t="s">
        <v>162</v>
      </c>
      <c r="F408" s="109">
        <v>1.0</v>
      </c>
      <c r="G408" s="108"/>
    </row>
    <row r="409">
      <c r="B409" s="87" t="s">
        <v>1411</v>
      </c>
      <c r="C409" s="17"/>
      <c r="D409" s="108" t="s">
        <v>78</v>
      </c>
      <c r="E409" s="108" t="s">
        <v>979</v>
      </c>
      <c r="F409" s="109">
        <v>1.0</v>
      </c>
      <c r="G409" s="108"/>
    </row>
    <row r="410">
      <c r="B410" s="87" t="s">
        <v>256</v>
      </c>
      <c r="C410" s="17"/>
      <c r="D410" s="108"/>
      <c r="E410" s="108"/>
      <c r="F410" s="109">
        <f>SUM(F400:F409)</f>
        <v>13</v>
      </c>
      <c r="G410" s="108"/>
    </row>
    <row r="411">
      <c r="B411" s="87"/>
      <c r="C411" s="17"/>
      <c r="D411" s="108"/>
      <c r="E411" s="108"/>
      <c r="F411" s="109"/>
      <c r="G411" s="108"/>
    </row>
  </sheetData>
  <mergeCells count="693">
    <mergeCell ref="J139:K139"/>
    <mergeCell ref="J140:K140"/>
    <mergeCell ref="J143:O143"/>
    <mergeCell ref="J144:O144"/>
    <mergeCell ref="J145:K145"/>
    <mergeCell ref="J146:K146"/>
    <mergeCell ref="L146:O146"/>
    <mergeCell ref="J147:K147"/>
    <mergeCell ref="J148:K148"/>
    <mergeCell ref="J149:K149"/>
    <mergeCell ref="J168:O168"/>
    <mergeCell ref="J169:O169"/>
    <mergeCell ref="J170:K170"/>
    <mergeCell ref="L171:O171"/>
    <mergeCell ref="J91:K91"/>
    <mergeCell ref="J92:K92"/>
    <mergeCell ref="J93:K93"/>
    <mergeCell ref="J94:K94"/>
    <mergeCell ref="J95:K95"/>
    <mergeCell ref="J96:K96"/>
    <mergeCell ref="J97:K97"/>
    <mergeCell ref="J98:K98"/>
    <mergeCell ref="J101:K101"/>
    <mergeCell ref="J102:K102"/>
    <mergeCell ref="J105:O105"/>
    <mergeCell ref="J106:O106"/>
    <mergeCell ref="J107:K107"/>
    <mergeCell ref="L108:O108"/>
    <mergeCell ref="J108:K108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7:O127"/>
    <mergeCell ref="J128:O128"/>
    <mergeCell ref="J129:K129"/>
    <mergeCell ref="J130:K130"/>
    <mergeCell ref="L130:O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71:K171"/>
    <mergeCell ref="J172:K172"/>
    <mergeCell ref="J173:K173"/>
    <mergeCell ref="J174:K174"/>
    <mergeCell ref="J175:K175"/>
    <mergeCell ref="J176:K176"/>
    <mergeCell ref="J177:K177"/>
    <mergeCell ref="J227:K227"/>
    <mergeCell ref="J228:K228"/>
    <mergeCell ref="J229:K229"/>
    <mergeCell ref="J230:K230"/>
    <mergeCell ref="J231:K231"/>
    <mergeCell ref="J232:K232"/>
    <mergeCell ref="J236:O236"/>
    <mergeCell ref="J237:O237"/>
    <mergeCell ref="J238:K238"/>
    <mergeCell ref="J239:K239"/>
    <mergeCell ref="L239:O239"/>
    <mergeCell ref="J240:K240"/>
    <mergeCell ref="J241:K241"/>
    <mergeCell ref="J242:K242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9:K189"/>
    <mergeCell ref="J190:K190"/>
    <mergeCell ref="J191:K191"/>
    <mergeCell ref="J192:K192"/>
    <mergeCell ref="J207:O207"/>
    <mergeCell ref="J208:K208"/>
    <mergeCell ref="J209:K209"/>
    <mergeCell ref="J210:K210"/>
    <mergeCell ref="J212:O212"/>
    <mergeCell ref="J213:O213"/>
    <mergeCell ref="J214:K214"/>
    <mergeCell ref="J193:K193"/>
    <mergeCell ref="J194:K194"/>
    <mergeCell ref="L194:O194"/>
    <mergeCell ref="J196:O196"/>
    <mergeCell ref="J197:O197"/>
    <mergeCell ref="L199:O199"/>
    <mergeCell ref="J206:O206"/>
    <mergeCell ref="J195:K195"/>
    <mergeCell ref="J198:K198"/>
    <mergeCell ref="J199:K199"/>
    <mergeCell ref="J200:K200"/>
    <mergeCell ref="J201:K201"/>
    <mergeCell ref="J202:K202"/>
    <mergeCell ref="J203:K203"/>
    <mergeCell ref="J204:K204"/>
    <mergeCell ref="J221:K221"/>
    <mergeCell ref="J222:K222"/>
    <mergeCell ref="J223:K223"/>
    <mergeCell ref="J224:K224"/>
    <mergeCell ref="J225:K225"/>
    <mergeCell ref="J226:K226"/>
    <mergeCell ref="J243:K243"/>
    <mergeCell ref="J244:K244"/>
    <mergeCell ref="J246:K246"/>
    <mergeCell ref="J247:K247"/>
    <mergeCell ref="C1:H1"/>
    <mergeCell ref="C2:H2"/>
    <mergeCell ref="J2:O2"/>
    <mergeCell ref="C3:D3"/>
    <mergeCell ref="J3:O3"/>
    <mergeCell ref="E4:H4"/>
    <mergeCell ref="J4:K4"/>
    <mergeCell ref="C4:D4"/>
    <mergeCell ref="C5:D5"/>
    <mergeCell ref="C6:D6"/>
    <mergeCell ref="C7:D7"/>
    <mergeCell ref="C8:D8"/>
    <mergeCell ref="C9:D9"/>
    <mergeCell ref="C10:D10"/>
    <mergeCell ref="J5:K5"/>
    <mergeCell ref="L5:O5"/>
    <mergeCell ref="J7:K7"/>
    <mergeCell ref="J8:K8"/>
    <mergeCell ref="J9:K9"/>
    <mergeCell ref="J10:K10"/>
    <mergeCell ref="J12:K12"/>
    <mergeCell ref="C20:D20"/>
    <mergeCell ref="C21:D21"/>
    <mergeCell ref="C22:D22"/>
    <mergeCell ref="C23:D23"/>
    <mergeCell ref="J23:O23"/>
    <mergeCell ref="J24:O24"/>
    <mergeCell ref="L26:O26"/>
    <mergeCell ref="C11:D11"/>
    <mergeCell ref="C12:D12"/>
    <mergeCell ref="C13:D13"/>
    <mergeCell ref="C14:D14"/>
    <mergeCell ref="C15:D15"/>
    <mergeCell ref="C18:D18"/>
    <mergeCell ref="C19:D19"/>
    <mergeCell ref="J13:K13"/>
    <mergeCell ref="J14:K14"/>
    <mergeCell ref="J15:K15"/>
    <mergeCell ref="J18:K18"/>
    <mergeCell ref="J19:K19"/>
    <mergeCell ref="J25:K25"/>
    <mergeCell ref="J26:K26"/>
    <mergeCell ref="J28:K28"/>
    <mergeCell ref="J29:K29"/>
    <mergeCell ref="J30:K30"/>
    <mergeCell ref="J31:K31"/>
    <mergeCell ref="J33:K33"/>
    <mergeCell ref="J34:K34"/>
    <mergeCell ref="J35:K35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60:D60"/>
    <mergeCell ref="C62:H62"/>
    <mergeCell ref="C63:H63"/>
    <mergeCell ref="C64:D64"/>
    <mergeCell ref="C65:D65"/>
    <mergeCell ref="E65:H65"/>
    <mergeCell ref="C66:D66"/>
    <mergeCell ref="C67:D67"/>
    <mergeCell ref="C68:D68"/>
    <mergeCell ref="C69:D69"/>
    <mergeCell ref="C70:D70"/>
    <mergeCell ref="C71:D71"/>
    <mergeCell ref="C72:H72"/>
    <mergeCell ref="C73:H73"/>
    <mergeCell ref="J36:K36"/>
    <mergeCell ref="J37:K37"/>
    <mergeCell ref="J38:K38"/>
    <mergeCell ref="J42:O42"/>
    <mergeCell ref="J43:O43"/>
    <mergeCell ref="J44:K44"/>
    <mergeCell ref="L45:O45"/>
    <mergeCell ref="J45:K45"/>
    <mergeCell ref="J46:K46"/>
    <mergeCell ref="J47:K47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L57:O57"/>
    <mergeCell ref="J63:O63"/>
    <mergeCell ref="J64:O64"/>
    <mergeCell ref="J65:K65"/>
    <mergeCell ref="J66:K66"/>
    <mergeCell ref="L66:O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L82:O82"/>
    <mergeCell ref="J85:O85"/>
    <mergeCell ref="J86:O86"/>
    <mergeCell ref="J87:K87"/>
    <mergeCell ref="J88:K88"/>
    <mergeCell ref="L88:O88"/>
    <mergeCell ref="J89:K89"/>
    <mergeCell ref="J90:K90"/>
    <mergeCell ref="C74:D74"/>
    <mergeCell ref="C75:D75"/>
    <mergeCell ref="E75:H75"/>
    <mergeCell ref="C76:D76"/>
    <mergeCell ref="C77:D77"/>
    <mergeCell ref="C78:D78"/>
    <mergeCell ref="C79:D79"/>
    <mergeCell ref="C80:D80"/>
    <mergeCell ref="C81:H81"/>
    <mergeCell ref="C82:H82"/>
    <mergeCell ref="C83:D83"/>
    <mergeCell ref="C84:D84"/>
    <mergeCell ref="E84:H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1:D111"/>
    <mergeCell ref="C112:D112"/>
    <mergeCell ref="C113:D113"/>
    <mergeCell ref="C114:D114"/>
    <mergeCell ref="C115:D115"/>
    <mergeCell ref="C117:H117"/>
    <mergeCell ref="C118:H118"/>
    <mergeCell ref="C119:D119"/>
    <mergeCell ref="C120:D120"/>
    <mergeCell ref="E120:H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1:H141"/>
    <mergeCell ref="C142:H142"/>
    <mergeCell ref="C143:D143"/>
    <mergeCell ref="C144:D144"/>
    <mergeCell ref="E144:H144"/>
    <mergeCell ref="C145:D145"/>
    <mergeCell ref="C146:D146"/>
    <mergeCell ref="C147:D147"/>
    <mergeCell ref="C148:D148"/>
    <mergeCell ref="C151:H151"/>
    <mergeCell ref="C152:H152"/>
    <mergeCell ref="C153:D153"/>
    <mergeCell ref="C154:D154"/>
    <mergeCell ref="E154:H154"/>
    <mergeCell ref="C155:D155"/>
    <mergeCell ref="C156:D156"/>
    <mergeCell ref="C158:H158"/>
    <mergeCell ref="C159:H159"/>
    <mergeCell ref="C160:D160"/>
    <mergeCell ref="C161:D161"/>
    <mergeCell ref="E161:H161"/>
    <mergeCell ref="C162:D162"/>
    <mergeCell ref="C163:D163"/>
    <mergeCell ref="C164:D164"/>
    <mergeCell ref="C166:H166"/>
    <mergeCell ref="C167:H167"/>
    <mergeCell ref="C168:D168"/>
    <mergeCell ref="C169:D169"/>
    <mergeCell ref="E169:H169"/>
    <mergeCell ref="C170:D170"/>
    <mergeCell ref="C171:D171"/>
    <mergeCell ref="C172:D172"/>
    <mergeCell ref="C173:D173"/>
    <mergeCell ref="C176:H176"/>
    <mergeCell ref="C177:H177"/>
    <mergeCell ref="C178:D178"/>
    <mergeCell ref="C179:D179"/>
    <mergeCell ref="C180:D180"/>
    <mergeCell ref="C181:D181"/>
    <mergeCell ref="C183:H183"/>
    <mergeCell ref="C184:H184"/>
    <mergeCell ref="C185:D185"/>
    <mergeCell ref="C186:D186"/>
    <mergeCell ref="E186:H186"/>
    <mergeCell ref="C187:D187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21:D221"/>
    <mergeCell ref="C222:D222"/>
    <mergeCell ref="E222:H222"/>
    <mergeCell ref="C227:H227"/>
    <mergeCell ref="C228:H228"/>
    <mergeCell ref="C229:D229"/>
    <mergeCell ref="C230:D230"/>
    <mergeCell ref="E230:H230"/>
    <mergeCell ref="C231:D231"/>
    <mergeCell ref="C258:H258"/>
    <mergeCell ref="C259:D259"/>
    <mergeCell ref="J259:K259"/>
    <mergeCell ref="C260:D260"/>
    <mergeCell ref="J260:K260"/>
    <mergeCell ref="C261:D261"/>
    <mergeCell ref="J262:K262"/>
    <mergeCell ref="J263:K263"/>
    <mergeCell ref="L269:O269"/>
    <mergeCell ref="J280:O280"/>
    <mergeCell ref="J281:O281"/>
    <mergeCell ref="L283:O283"/>
    <mergeCell ref="J294:O294"/>
    <mergeCell ref="J295:O295"/>
    <mergeCell ref="L297:O297"/>
    <mergeCell ref="C262:D262"/>
    <mergeCell ref="C263:D263"/>
    <mergeCell ref="C266:H266"/>
    <mergeCell ref="J266:O266"/>
    <mergeCell ref="C267:H267"/>
    <mergeCell ref="J267:O267"/>
    <mergeCell ref="J268:K268"/>
    <mergeCell ref="B384:C384"/>
    <mergeCell ref="B387:G387"/>
    <mergeCell ref="B388:G388"/>
    <mergeCell ref="B389:C389"/>
    <mergeCell ref="B390:C390"/>
    <mergeCell ref="B391:C391"/>
    <mergeCell ref="B392:C392"/>
    <mergeCell ref="B393:C393"/>
    <mergeCell ref="B396:G396"/>
    <mergeCell ref="B397:G397"/>
    <mergeCell ref="B398:C398"/>
    <mergeCell ref="B399:C399"/>
    <mergeCell ref="B400:C400"/>
    <mergeCell ref="B401:C401"/>
    <mergeCell ref="B409:C409"/>
    <mergeCell ref="B410:C410"/>
    <mergeCell ref="B411:C411"/>
    <mergeCell ref="B402:C402"/>
    <mergeCell ref="B403:C403"/>
    <mergeCell ref="B404:C404"/>
    <mergeCell ref="B405:C405"/>
    <mergeCell ref="B406:C406"/>
    <mergeCell ref="B407:C407"/>
    <mergeCell ref="B408:C408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40:G340"/>
    <mergeCell ref="B341:G341"/>
    <mergeCell ref="B342:C342"/>
    <mergeCell ref="B343:C343"/>
    <mergeCell ref="D343:G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7:G357"/>
    <mergeCell ref="B358:G358"/>
    <mergeCell ref="B359:C359"/>
    <mergeCell ref="D360:G360"/>
    <mergeCell ref="B360:C360"/>
    <mergeCell ref="B361:C361"/>
    <mergeCell ref="B362:C362"/>
    <mergeCell ref="B363:C363"/>
    <mergeCell ref="B364:C364"/>
    <mergeCell ref="B365:C365"/>
    <mergeCell ref="B366:C366"/>
    <mergeCell ref="B370:G370"/>
    <mergeCell ref="B371:G371"/>
    <mergeCell ref="B372:C372"/>
    <mergeCell ref="B373:C373"/>
    <mergeCell ref="D373:G373"/>
    <mergeCell ref="B374:C374"/>
    <mergeCell ref="B375:C375"/>
    <mergeCell ref="B376:C376"/>
    <mergeCell ref="B377:C377"/>
    <mergeCell ref="B379:G379"/>
    <mergeCell ref="B380:G380"/>
    <mergeCell ref="B381:C381"/>
    <mergeCell ref="B382:C382"/>
    <mergeCell ref="B383:C383"/>
    <mergeCell ref="C271:D271"/>
    <mergeCell ref="C272:D272"/>
    <mergeCell ref="C273:D273"/>
    <mergeCell ref="C268:D268"/>
    <mergeCell ref="C269:D269"/>
    <mergeCell ref="E269:H269"/>
    <mergeCell ref="J269:K269"/>
    <mergeCell ref="C270:D270"/>
    <mergeCell ref="J270:K270"/>
    <mergeCell ref="J271:K271"/>
    <mergeCell ref="J272:K272"/>
    <mergeCell ref="J273:K273"/>
    <mergeCell ref="C274:D274"/>
    <mergeCell ref="J274:K274"/>
    <mergeCell ref="C275:D275"/>
    <mergeCell ref="J275:K275"/>
    <mergeCell ref="J276:K276"/>
    <mergeCell ref="C276:D276"/>
    <mergeCell ref="C277:D277"/>
    <mergeCell ref="C278:D278"/>
    <mergeCell ref="C279:D279"/>
    <mergeCell ref="C280:D280"/>
    <mergeCell ref="C281:D281"/>
    <mergeCell ref="J282:K282"/>
    <mergeCell ref="C282:D282"/>
    <mergeCell ref="C283:D283"/>
    <mergeCell ref="J283:K283"/>
    <mergeCell ref="C284:D284"/>
    <mergeCell ref="J284:K284"/>
    <mergeCell ref="J285:K285"/>
    <mergeCell ref="J286:K286"/>
    <mergeCell ref="C286:H286"/>
    <mergeCell ref="C287:H287"/>
    <mergeCell ref="J287:K287"/>
    <mergeCell ref="C288:D288"/>
    <mergeCell ref="J288:K288"/>
    <mergeCell ref="E289:H289"/>
    <mergeCell ref="J289:K289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J245:K245"/>
    <mergeCell ref="J250:K250"/>
    <mergeCell ref="J251:K251"/>
    <mergeCell ref="J249:K249"/>
    <mergeCell ref="J252:K252"/>
    <mergeCell ref="J255:K255"/>
    <mergeCell ref="J256:K256"/>
    <mergeCell ref="C245:D245"/>
    <mergeCell ref="C248:H248"/>
    <mergeCell ref="J248:K248"/>
    <mergeCell ref="C249:H249"/>
    <mergeCell ref="C250:D250"/>
    <mergeCell ref="C251:D251"/>
    <mergeCell ref="C252:D252"/>
    <mergeCell ref="C253:D253"/>
    <mergeCell ref="J253:K253"/>
    <mergeCell ref="C254:D254"/>
    <mergeCell ref="J254:K254"/>
    <mergeCell ref="C257:H257"/>
    <mergeCell ref="J257:K257"/>
    <mergeCell ref="J258:K258"/>
    <mergeCell ref="C289:D289"/>
    <mergeCell ref="C290:D290"/>
    <mergeCell ref="J290:K290"/>
    <mergeCell ref="C291:D291"/>
    <mergeCell ref="C292:D292"/>
    <mergeCell ref="C293:D293"/>
    <mergeCell ref="C294:D294"/>
    <mergeCell ref="J298:K298"/>
    <mergeCell ref="J299:K299"/>
    <mergeCell ref="J297:K297"/>
    <mergeCell ref="J300:K300"/>
    <mergeCell ref="C295:D295"/>
    <mergeCell ref="C296:D296"/>
    <mergeCell ref="J296:K296"/>
    <mergeCell ref="C297:D297"/>
    <mergeCell ref="C298:D298"/>
    <mergeCell ref="C299:D299"/>
    <mergeCell ref="C300:D300"/>
    <mergeCell ref="C301:D301"/>
    <mergeCell ref="J301:K301"/>
    <mergeCell ref="C302:D302"/>
    <mergeCell ref="J302:K302"/>
    <mergeCell ref="C303:D303"/>
    <mergeCell ref="J303:K303"/>
    <mergeCell ref="J304:K304"/>
    <mergeCell ref="J305:K305"/>
    <mergeCell ref="J306:K306"/>
    <mergeCell ref="J307:K307"/>
    <mergeCell ref="J308:K308"/>
    <mergeCell ref="J309:K309"/>
    <mergeCell ref="J310:K310"/>
    <mergeCell ref="J311:K311"/>
    <mergeCell ref="C304:D304"/>
    <mergeCell ref="C305:D305"/>
    <mergeCell ref="B313:G313"/>
    <mergeCell ref="B314:G314"/>
    <mergeCell ref="B315:C315"/>
    <mergeCell ref="B316:C316"/>
    <mergeCell ref="D316:G316"/>
    <mergeCell ref="B317:C317"/>
    <mergeCell ref="B318:C318"/>
    <mergeCell ref="B319:C319"/>
    <mergeCell ref="B320:C320"/>
    <mergeCell ref="B321:C321"/>
    <mergeCell ref="B322:C322"/>
    <mergeCell ref="B323:C323"/>
    <mergeCell ref="J381:K381"/>
    <mergeCell ref="J382:K382"/>
    <mergeCell ref="J383:K383"/>
    <mergeCell ref="J384:K384"/>
    <mergeCell ref="J385:K385"/>
    <mergeCell ref="J386:K386"/>
    <mergeCell ref="J387:K387"/>
    <mergeCell ref="I373:J373"/>
    <mergeCell ref="I374:J374"/>
    <mergeCell ref="J377:O377"/>
    <mergeCell ref="J378:O378"/>
    <mergeCell ref="J379:K379"/>
    <mergeCell ref="J380:K380"/>
    <mergeCell ref="L380:O380"/>
    <mergeCell ref="J312:K312"/>
    <mergeCell ref="J313:K313"/>
    <mergeCell ref="K315:P315"/>
    <mergeCell ref="K316:P316"/>
    <mergeCell ref="K317:L317"/>
    <mergeCell ref="K318:L318"/>
    <mergeCell ref="M318:P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J340:O340"/>
    <mergeCell ref="J341:O341"/>
    <mergeCell ref="J342:K342"/>
    <mergeCell ref="J343:K343"/>
    <mergeCell ref="L343:O343"/>
    <mergeCell ref="J344:K344"/>
    <mergeCell ref="J345:K345"/>
    <mergeCell ref="J346:K346"/>
    <mergeCell ref="J347:K347"/>
    <mergeCell ref="J348:K348"/>
    <mergeCell ref="J349:K349"/>
    <mergeCell ref="J350:K350"/>
    <mergeCell ref="J357:O357"/>
    <mergeCell ref="J358:O358"/>
    <mergeCell ref="J359:K359"/>
    <mergeCell ref="J360:K360"/>
    <mergeCell ref="L360:O360"/>
    <mergeCell ref="J361:K361"/>
    <mergeCell ref="J362:K362"/>
    <mergeCell ref="J363:K363"/>
    <mergeCell ref="J364:K364"/>
    <mergeCell ref="J365:K365"/>
    <mergeCell ref="I369:N369"/>
    <mergeCell ref="I370:N370"/>
    <mergeCell ref="I371:J371"/>
    <mergeCell ref="I372:J37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25.71"/>
    <col customWidth="1" min="3" max="3" width="30.29"/>
    <col customWidth="1" min="4" max="4" width="20.43"/>
    <col customWidth="1" min="6" max="6" width="23.57"/>
    <col customWidth="1" min="7" max="7" width="11.14"/>
    <col customWidth="1" min="8" max="8" width="38.14"/>
    <col customWidth="1" min="9" max="9" width="7.57"/>
    <col customWidth="1" min="10" max="10" width="23.57"/>
    <col customWidth="1" min="13" max="13" width="28.43"/>
  </cols>
  <sheetData>
    <row r="1">
      <c r="B1" s="18" t="s">
        <v>58</v>
      </c>
      <c r="C1" s="16"/>
      <c r="D1" s="16"/>
      <c r="E1" s="16"/>
      <c r="F1" s="17"/>
      <c r="H1" s="18" t="s">
        <v>58</v>
      </c>
      <c r="I1" s="16"/>
      <c r="J1" s="16"/>
      <c r="K1" s="16"/>
      <c r="L1" s="16"/>
      <c r="M1" s="17"/>
    </row>
    <row r="2">
      <c r="B2" s="28" t="s">
        <v>14</v>
      </c>
      <c r="C2" s="16"/>
      <c r="D2" s="16"/>
      <c r="E2" s="16"/>
      <c r="F2" s="17"/>
      <c r="H2" s="18" t="s">
        <v>14</v>
      </c>
      <c r="I2" s="16"/>
      <c r="J2" s="16"/>
      <c r="K2" s="16"/>
      <c r="L2" s="16"/>
      <c r="M2" s="17"/>
    </row>
    <row r="3">
      <c r="B3" s="30" t="s">
        <v>60</v>
      </c>
      <c r="C3" s="30" t="s">
        <v>16</v>
      </c>
      <c r="D3" s="30" t="s">
        <v>17</v>
      </c>
      <c r="E3" s="30" t="s">
        <v>18</v>
      </c>
      <c r="F3" s="30" t="s">
        <v>19</v>
      </c>
      <c r="H3" s="18" t="s">
        <v>60</v>
      </c>
      <c r="I3" s="17"/>
      <c r="J3" s="19" t="s">
        <v>16</v>
      </c>
      <c r="K3" s="19" t="s">
        <v>17</v>
      </c>
      <c r="L3" s="19" t="s">
        <v>18</v>
      </c>
      <c r="M3" s="19" t="s">
        <v>19</v>
      </c>
    </row>
    <row r="4">
      <c r="B4" s="30" t="s">
        <v>1412</v>
      </c>
      <c r="C4" s="229"/>
      <c r="D4" s="229"/>
      <c r="E4" s="229"/>
      <c r="F4" s="229"/>
      <c r="H4" s="28" t="s">
        <v>1413</v>
      </c>
      <c r="I4" s="17"/>
      <c r="J4" s="4"/>
      <c r="K4" s="4"/>
      <c r="L4" s="4"/>
      <c r="M4" s="4"/>
    </row>
    <row r="5">
      <c r="B5" s="42" t="s">
        <v>1414</v>
      </c>
      <c r="C5" s="72" t="s">
        <v>1415</v>
      </c>
      <c r="D5" s="92" t="s">
        <v>1416</v>
      </c>
      <c r="E5" s="72">
        <v>1.0</v>
      </c>
      <c r="F5" s="72"/>
      <c r="H5" s="53" t="s">
        <v>1417</v>
      </c>
      <c r="I5" s="17"/>
      <c r="J5" s="182" t="s">
        <v>998</v>
      </c>
      <c r="K5" s="193" t="s">
        <v>1418</v>
      </c>
      <c r="L5" s="182">
        <v>1.0</v>
      </c>
      <c r="M5" s="4"/>
      <c r="N5" s="187">
        <v>1.0</v>
      </c>
      <c r="O5" s="148"/>
      <c r="P5" s="148"/>
      <c r="Q5" s="148"/>
    </row>
    <row r="6">
      <c r="B6" s="42" t="s">
        <v>1419</v>
      </c>
      <c r="C6" s="72" t="s">
        <v>1415</v>
      </c>
      <c r="D6" s="72" t="s">
        <v>1420</v>
      </c>
      <c r="E6" s="72">
        <v>1.0</v>
      </c>
      <c r="F6" s="72"/>
      <c r="H6" s="53" t="s">
        <v>1421</v>
      </c>
      <c r="I6" s="17"/>
      <c r="J6" s="183" t="s">
        <v>1422</v>
      </c>
      <c r="K6" s="182" t="s">
        <v>1423</v>
      </c>
      <c r="L6" s="182">
        <v>1.0</v>
      </c>
      <c r="M6" s="4"/>
      <c r="N6" s="187">
        <v>1.0</v>
      </c>
      <c r="O6" s="42"/>
      <c r="P6" s="148"/>
      <c r="Q6" s="148"/>
    </row>
    <row r="7">
      <c r="B7" s="42" t="s">
        <v>1424</v>
      </c>
      <c r="C7" s="72" t="s">
        <v>120</v>
      </c>
      <c r="D7" s="92" t="s">
        <v>1425</v>
      </c>
      <c r="E7" s="72">
        <v>2.0</v>
      </c>
      <c r="F7" s="72"/>
      <c r="H7" s="53" t="s">
        <v>1426</v>
      </c>
      <c r="I7" s="17"/>
      <c r="J7" s="182" t="s">
        <v>84</v>
      </c>
      <c r="K7" s="193" t="s">
        <v>78</v>
      </c>
      <c r="L7" s="182">
        <v>1.0</v>
      </c>
      <c r="M7" s="4"/>
      <c r="N7" s="187">
        <v>1.0</v>
      </c>
      <c r="O7" s="148"/>
      <c r="P7" s="148"/>
      <c r="Q7" s="148"/>
    </row>
    <row r="8">
      <c r="B8" s="42" t="s">
        <v>1427</v>
      </c>
      <c r="C8" s="72"/>
      <c r="D8" s="92" t="s">
        <v>1428</v>
      </c>
      <c r="E8" s="72"/>
      <c r="F8" s="72" t="s">
        <v>212</v>
      </c>
      <c r="H8" s="262" t="s">
        <v>1429</v>
      </c>
      <c r="I8" s="17"/>
      <c r="J8" s="4" t="s">
        <v>998</v>
      </c>
      <c r="K8" s="46" t="s">
        <v>1430</v>
      </c>
      <c r="L8" s="4">
        <v>1.0</v>
      </c>
      <c r="M8" s="4"/>
    </row>
    <row r="9">
      <c r="B9" s="42" t="s">
        <v>1431</v>
      </c>
      <c r="C9" s="72" t="s">
        <v>998</v>
      </c>
      <c r="D9" s="72" t="s">
        <v>1432</v>
      </c>
      <c r="E9" s="72">
        <v>2.0</v>
      </c>
      <c r="F9" s="72"/>
      <c r="H9" s="53" t="s">
        <v>1433</v>
      </c>
      <c r="I9" s="17"/>
      <c r="J9" s="4" t="s">
        <v>1434</v>
      </c>
      <c r="K9" s="4" t="s">
        <v>78</v>
      </c>
      <c r="L9" s="4">
        <v>1.0</v>
      </c>
      <c r="M9" s="4"/>
      <c r="N9" s="187">
        <v>1.0</v>
      </c>
    </row>
    <row r="10">
      <c r="B10" s="42" t="s">
        <v>1435</v>
      </c>
      <c r="C10" s="72" t="s">
        <v>1415</v>
      </c>
      <c r="D10" s="72" t="s">
        <v>1436</v>
      </c>
      <c r="E10" s="72">
        <v>1.0</v>
      </c>
      <c r="F10" s="72"/>
      <c r="H10" s="262" t="s">
        <v>1437</v>
      </c>
      <c r="I10" s="17"/>
      <c r="J10" s="229" t="s">
        <v>1415</v>
      </c>
      <c r="K10" s="4" t="s">
        <v>1438</v>
      </c>
      <c r="L10" s="4">
        <v>1.0</v>
      </c>
      <c r="M10" s="4"/>
    </row>
    <row r="11">
      <c r="B11" s="42" t="s">
        <v>1439</v>
      </c>
      <c r="C11" s="72" t="s">
        <v>1415</v>
      </c>
      <c r="D11" s="72" t="s">
        <v>1440</v>
      </c>
      <c r="E11" s="72">
        <v>1.0</v>
      </c>
      <c r="F11" s="72"/>
      <c r="H11" s="53" t="s">
        <v>1441</v>
      </c>
      <c r="I11" s="17"/>
      <c r="J11" s="182" t="s">
        <v>78</v>
      </c>
      <c r="K11" s="182" t="s">
        <v>78</v>
      </c>
      <c r="L11" s="182">
        <v>1.0</v>
      </c>
      <c r="M11" s="4"/>
      <c r="N11" s="187">
        <v>1.0</v>
      </c>
    </row>
    <row r="12">
      <c r="B12" s="42" t="s">
        <v>1442</v>
      </c>
      <c r="C12" s="72" t="s">
        <v>78</v>
      </c>
      <c r="D12" s="72" t="s">
        <v>1443</v>
      </c>
      <c r="E12" s="72"/>
      <c r="F12" s="72" t="s">
        <v>212</v>
      </c>
      <c r="H12" s="263" t="s">
        <v>1444</v>
      </c>
      <c r="I12" s="17"/>
      <c r="J12" s="263" t="s">
        <v>78</v>
      </c>
      <c r="K12" s="264" t="s">
        <v>78</v>
      </c>
      <c r="L12" s="265"/>
      <c r="M12" s="264" t="s">
        <v>212</v>
      </c>
    </row>
    <row r="13">
      <c r="B13" s="42" t="s">
        <v>1445</v>
      </c>
      <c r="C13" s="73" t="s">
        <v>120</v>
      </c>
      <c r="D13" s="222">
        <v>4622102.0</v>
      </c>
      <c r="E13" s="222">
        <v>1.0</v>
      </c>
      <c r="F13" s="223"/>
      <c r="H13" s="53" t="s">
        <v>997</v>
      </c>
      <c r="I13" s="17"/>
      <c r="J13" s="53" t="s">
        <v>120</v>
      </c>
      <c r="K13" s="266" t="s">
        <v>1446</v>
      </c>
      <c r="L13" s="52">
        <v>1.0</v>
      </c>
      <c r="M13" s="267"/>
      <c r="N13" s="187">
        <v>1.0</v>
      </c>
    </row>
    <row r="14">
      <c r="B14" s="42" t="s">
        <v>1447</v>
      </c>
      <c r="C14" s="72" t="s">
        <v>1415</v>
      </c>
      <c r="D14" s="92" t="s">
        <v>1448</v>
      </c>
      <c r="E14" s="72">
        <v>1.0</v>
      </c>
      <c r="F14" s="72"/>
      <c r="H14" s="53" t="s">
        <v>1449</v>
      </c>
      <c r="I14" s="17"/>
      <c r="J14" s="53" t="s">
        <v>998</v>
      </c>
      <c r="K14" s="266" t="s">
        <v>539</v>
      </c>
      <c r="L14" s="52">
        <v>1.0</v>
      </c>
      <c r="M14" s="267"/>
      <c r="N14" s="187">
        <v>1.0</v>
      </c>
    </row>
    <row r="15">
      <c r="B15" s="42" t="s">
        <v>1450</v>
      </c>
      <c r="C15" s="72" t="s">
        <v>1415</v>
      </c>
      <c r="D15" s="72" t="s">
        <v>1451</v>
      </c>
      <c r="E15" s="72">
        <v>1.0</v>
      </c>
      <c r="F15" s="72"/>
      <c r="H15" s="53" t="s">
        <v>1452</v>
      </c>
      <c r="I15" s="17"/>
      <c r="J15" s="39" t="s">
        <v>78</v>
      </c>
      <c r="K15" s="267" t="s">
        <v>1453</v>
      </c>
      <c r="L15" s="40">
        <v>4.0</v>
      </c>
      <c r="M15" s="267"/>
      <c r="N15" s="187">
        <v>2.0</v>
      </c>
    </row>
    <row r="16">
      <c r="B16" s="42" t="s">
        <v>1454</v>
      </c>
      <c r="C16" s="72" t="s">
        <v>998</v>
      </c>
      <c r="D16" s="92" t="s">
        <v>78</v>
      </c>
      <c r="E16" s="72">
        <v>1.0</v>
      </c>
      <c r="F16" s="72"/>
      <c r="H16" s="53" t="s">
        <v>1455</v>
      </c>
      <c r="I16" s="17"/>
      <c r="J16" s="39" t="s">
        <v>78</v>
      </c>
      <c r="K16" s="267" t="s">
        <v>78</v>
      </c>
      <c r="L16" s="40">
        <v>1.0</v>
      </c>
      <c r="M16" s="267"/>
      <c r="N16" s="187">
        <v>1.0</v>
      </c>
    </row>
    <row r="17">
      <c r="B17" s="177" t="s">
        <v>38</v>
      </c>
      <c r="C17" s="72"/>
      <c r="D17" s="92"/>
      <c r="E17" s="72">
        <f>SUM(E4:E16)</f>
        <v>12</v>
      </c>
      <c r="F17" s="72"/>
      <c r="H17" s="53" t="s">
        <v>1456</v>
      </c>
      <c r="I17" s="17"/>
      <c r="J17" s="53" t="s">
        <v>998</v>
      </c>
      <c r="K17" s="266" t="s">
        <v>1457</v>
      </c>
      <c r="L17" s="52">
        <v>1.0</v>
      </c>
      <c r="M17" s="267"/>
      <c r="N17" s="187">
        <v>1.0</v>
      </c>
    </row>
    <row r="18">
      <c r="B18" s="148"/>
      <c r="C18" s="148"/>
      <c r="D18" s="148"/>
      <c r="E18" s="148"/>
      <c r="F18" s="148"/>
      <c r="H18" s="263" t="s">
        <v>1458</v>
      </c>
      <c r="I18" s="17"/>
      <c r="J18" s="263" t="s">
        <v>78</v>
      </c>
      <c r="K18" s="264" t="s">
        <v>78</v>
      </c>
      <c r="L18" s="265"/>
      <c r="M18" s="264" t="s">
        <v>212</v>
      </c>
    </row>
    <row r="19">
      <c r="H19" s="53" t="s">
        <v>1459</v>
      </c>
      <c r="I19" s="17"/>
      <c r="J19" s="39" t="s">
        <v>120</v>
      </c>
      <c r="K19" s="267" t="s">
        <v>1460</v>
      </c>
      <c r="L19" s="40">
        <v>2.0</v>
      </c>
      <c r="M19" s="267"/>
      <c r="N19" s="187">
        <v>1.0</v>
      </c>
    </row>
    <row r="20">
      <c r="H20" s="53" t="s">
        <v>1461</v>
      </c>
      <c r="I20" s="17"/>
      <c r="J20" s="53" t="s">
        <v>1462</v>
      </c>
      <c r="K20" s="266">
        <v>7.26</v>
      </c>
      <c r="L20" s="52">
        <v>1.0</v>
      </c>
      <c r="M20" s="267"/>
      <c r="N20" s="187">
        <v>1.0</v>
      </c>
    </row>
    <row r="21">
      <c r="H21" s="32" t="s">
        <v>38</v>
      </c>
      <c r="I21" s="17"/>
      <c r="J21" s="39"/>
      <c r="K21" s="267"/>
      <c r="L21" s="40">
        <f>SUM(L5:L20)</f>
        <v>18</v>
      </c>
      <c r="M21" s="268"/>
      <c r="N21" s="199">
        <f>SUM(N5:N20)</f>
        <v>13</v>
      </c>
    </row>
    <row r="23">
      <c r="B23" s="28" t="s">
        <v>58</v>
      </c>
      <c r="C23" s="16"/>
      <c r="D23" s="16"/>
      <c r="E23" s="16"/>
      <c r="F23" s="17"/>
      <c r="H23" s="28" t="s">
        <v>58</v>
      </c>
      <c r="I23" s="16"/>
      <c r="J23" s="16"/>
      <c r="K23" s="16"/>
      <c r="L23" s="16"/>
      <c r="M23" s="17"/>
    </row>
    <row r="24">
      <c r="B24" s="28" t="s">
        <v>14</v>
      </c>
      <c r="C24" s="16"/>
      <c r="D24" s="16"/>
      <c r="E24" s="16"/>
      <c r="F24" s="17"/>
      <c r="H24" s="28" t="s">
        <v>14</v>
      </c>
      <c r="I24" s="16"/>
      <c r="J24" s="16"/>
      <c r="K24" s="16"/>
      <c r="L24" s="16"/>
      <c r="M24" s="17"/>
    </row>
    <row r="25">
      <c r="B25" s="30" t="s">
        <v>60</v>
      </c>
      <c r="C25" s="30" t="s">
        <v>16</v>
      </c>
      <c r="D25" s="30" t="s">
        <v>17</v>
      </c>
      <c r="E25" s="30" t="s">
        <v>18</v>
      </c>
      <c r="F25" s="30" t="s">
        <v>19</v>
      </c>
      <c r="H25" s="28" t="s">
        <v>60</v>
      </c>
      <c r="I25" s="17"/>
      <c r="J25" s="30" t="s">
        <v>16</v>
      </c>
      <c r="K25" s="30" t="s">
        <v>17</v>
      </c>
      <c r="L25" s="30" t="s">
        <v>18</v>
      </c>
      <c r="M25" s="30" t="s">
        <v>19</v>
      </c>
    </row>
    <row r="26">
      <c r="B26" s="30" t="s">
        <v>1463</v>
      </c>
      <c r="C26" s="229"/>
      <c r="D26" s="229"/>
      <c r="E26" s="229"/>
      <c r="F26" s="229"/>
      <c r="H26" s="28" t="s">
        <v>1464</v>
      </c>
      <c r="I26" s="17"/>
      <c r="J26" s="229"/>
      <c r="K26" s="229"/>
      <c r="L26" s="229"/>
      <c r="M26" s="229" t="s">
        <v>1465</v>
      </c>
    </row>
    <row r="27">
      <c r="B27" s="42" t="s">
        <v>1466</v>
      </c>
      <c r="C27" s="72" t="s">
        <v>1467</v>
      </c>
      <c r="D27" s="92" t="s">
        <v>1468</v>
      </c>
      <c r="E27" s="72">
        <v>1.0</v>
      </c>
      <c r="F27" s="72"/>
      <c r="H27" s="41" t="s">
        <v>1469</v>
      </c>
      <c r="I27" s="17"/>
      <c r="J27" s="72" t="s">
        <v>78</v>
      </c>
      <c r="K27" s="92" t="s">
        <v>78</v>
      </c>
      <c r="L27" s="72">
        <v>1.0</v>
      </c>
      <c r="M27" s="72"/>
    </row>
    <row r="28">
      <c r="B28" s="42" t="s">
        <v>1205</v>
      </c>
      <c r="C28" s="72" t="s">
        <v>1190</v>
      </c>
      <c r="D28" s="92" t="s">
        <v>1470</v>
      </c>
      <c r="E28" s="72">
        <v>3.0</v>
      </c>
      <c r="F28" s="72"/>
      <c r="H28" s="41" t="s">
        <v>1471</v>
      </c>
      <c r="I28" s="17"/>
      <c r="J28" s="72" t="s">
        <v>78</v>
      </c>
      <c r="K28" s="92" t="s">
        <v>78</v>
      </c>
      <c r="L28" s="72">
        <v>7.0</v>
      </c>
      <c r="M28" s="72"/>
    </row>
    <row r="29">
      <c r="B29" s="42" t="s">
        <v>1472</v>
      </c>
      <c r="C29" s="72" t="s">
        <v>1473</v>
      </c>
      <c r="D29" s="92" t="s">
        <v>1474</v>
      </c>
      <c r="E29" s="72">
        <v>2.0</v>
      </c>
      <c r="F29" s="72"/>
      <c r="H29" s="41" t="s">
        <v>1475</v>
      </c>
      <c r="I29" s="17"/>
      <c r="J29" s="72" t="s">
        <v>78</v>
      </c>
      <c r="K29" s="92" t="s">
        <v>78</v>
      </c>
      <c r="L29" s="72">
        <v>2.0</v>
      </c>
      <c r="M29" s="72"/>
    </row>
    <row r="30">
      <c r="B30" s="42" t="s">
        <v>1476</v>
      </c>
      <c r="C30" s="72" t="s">
        <v>120</v>
      </c>
      <c r="D30" s="92" t="s">
        <v>1477</v>
      </c>
      <c r="E30" s="72">
        <v>2.0</v>
      </c>
      <c r="F30" s="72" t="s">
        <v>1478</v>
      </c>
      <c r="H30" s="41" t="s">
        <v>1479</v>
      </c>
      <c r="I30" s="17"/>
      <c r="J30" s="72" t="s">
        <v>1480</v>
      </c>
      <c r="K30" s="92" t="s">
        <v>1481</v>
      </c>
      <c r="L30" s="72">
        <v>3.0</v>
      </c>
      <c r="M30" s="72"/>
    </row>
    <row r="31">
      <c r="B31" s="42" t="s">
        <v>997</v>
      </c>
      <c r="C31" s="72" t="s">
        <v>1473</v>
      </c>
      <c r="D31" s="92" t="s">
        <v>1482</v>
      </c>
      <c r="E31" s="72">
        <v>1.0</v>
      </c>
      <c r="F31" s="72"/>
      <c r="H31" s="41" t="s">
        <v>1483</v>
      </c>
      <c r="I31" s="17"/>
      <c r="J31" s="72" t="s">
        <v>998</v>
      </c>
      <c r="K31" s="92" t="s">
        <v>1484</v>
      </c>
      <c r="L31" s="72">
        <v>1.0</v>
      </c>
      <c r="M31" s="72"/>
    </row>
    <row r="32">
      <c r="B32" s="42" t="s">
        <v>997</v>
      </c>
      <c r="C32" s="72" t="s">
        <v>1485</v>
      </c>
      <c r="D32" s="92" t="s">
        <v>78</v>
      </c>
      <c r="E32" s="72">
        <v>1.0</v>
      </c>
      <c r="F32" s="72"/>
      <c r="H32" s="42"/>
      <c r="I32" s="42"/>
      <c r="J32" s="72"/>
      <c r="K32" s="92"/>
      <c r="L32" s="72"/>
      <c r="M32" s="72"/>
    </row>
    <row r="33">
      <c r="B33" s="42" t="s">
        <v>1002</v>
      </c>
      <c r="C33" s="72" t="s">
        <v>1473</v>
      </c>
      <c r="D33" s="92" t="s">
        <v>1486</v>
      </c>
      <c r="E33" s="72">
        <v>1.0</v>
      </c>
      <c r="F33" s="72"/>
      <c r="H33" s="41" t="s">
        <v>1487</v>
      </c>
      <c r="I33" s="17"/>
      <c r="J33" s="72" t="s">
        <v>78</v>
      </c>
      <c r="K33" s="92" t="s">
        <v>78</v>
      </c>
      <c r="L33" s="72">
        <v>5.0</v>
      </c>
      <c r="M33" s="72"/>
    </row>
    <row r="34">
      <c r="B34" s="42" t="s">
        <v>1488</v>
      </c>
      <c r="C34" s="72" t="s">
        <v>1473</v>
      </c>
      <c r="D34" s="92" t="s">
        <v>1489</v>
      </c>
      <c r="E34" s="72">
        <v>1.0</v>
      </c>
      <c r="F34" s="72"/>
      <c r="H34" s="41" t="s">
        <v>1490</v>
      </c>
      <c r="I34" s="17"/>
      <c r="J34" s="72" t="s">
        <v>441</v>
      </c>
      <c r="K34" s="92" t="s">
        <v>1491</v>
      </c>
      <c r="L34" s="72">
        <v>1.0</v>
      </c>
      <c r="M34" s="72"/>
    </row>
    <row r="35">
      <c r="B35" s="42" t="s">
        <v>1492</v>
      </c>
      <c r="C35" s="72" t="s">
        <v>1493</v>
      </c>
      <c r="D35" s="92" t="s">
        <v>1494</v>
      </c>
      <c r="E35" s="72">
        <v>1.0</v>
      </c>
      <c r="F35" s="72"/>
      <c r="H35" s="41" t="s">
        <v>1495</v>
      </c>
      <c r="I35" s="17"/>
      <c r="J35" s="72" t="s">
        <v>78</v>
      </c>
      <c r="K35" s="92" t="s">
        <v>78</v>
      </c>
      <c r="L35" s="72">
        <v>1.0</v>
      </c>
      <c r="M35" s="72"/>
    </row>
    <row r="36">
      <c r="B36" s="42" t="s">
        <v>1496</v>
      </c>
      <c r="C36" s="72" t="s">
        <v>1497</v>
      </c>
      <c r="D36" s="92" t="s">
        <v>1498</v>
      </c>
      <c r="E36" s="72">
        <v>1.0</v>
      </c>
      <c r="F36" s="72"/>
      <c r="H36" s="41" t="s">
        <v>1499</v>
      </c>
      <c r="I36" s="17"/>
      <c r="J36" s="72" t="s">
        <v>78</v>
      </c>
      <c r="K36" s="92" t="s">
        <v>78</v>
      </c>
      <c r="L36" s="72">
        <v>1.0</v>
      </c>
      <c r="M36" s="72"/>
    </row>
    <row r="37">
      <c r="B37" s="42" t="s">
        <v>1500</v>
      </c>
      <c r="C37" s="72" t="s">
        <v>1501</v>
      </c>
      <c r="D37" s="92" t="s">
        <v>78</v>
      </c>
      <c r="E37" s="72">
        <v>1.0</v>
      </c>
      <c r="F37" s="72"/>
      <c r="H37" s="41" t="s">
        <v>1502</v>
      </c>
      <c r="I37" s="17"/>
      <c r="J37" s="72" t="s">
        <v>78</v>
      </c>
      <c r="K37" s="92" t="s">
        <v>1503</v>
      </c>
      <c r="L37" s="72">
        <v>1.0</v>
      </c>
      <c r="M37" s="72"/>
    </row>
    <row r="38">
      <c r="B38" s="42" t="s">
        <v>1504</v>
      </c>
      <c r="C38" s="72" t="s">
        <v>120</v>
      </c>
      <c r="D38" s="92">
        <v>8.16014</v>
      </c>
      <c r="E38" s="72">
        <v>1.0</v>
      </c>
      <c r="F38" s="72"/>
      <c r="H38" s="41" t="s">
        <v>1505</v>
      </c>
      <c r="I38" s="17"/>
      <c r="J38" s="72" t="s">
        <v>78</v>
      </c>
      <c r="K38" s="92">
        <v>44.16517</v>
      </c>
      <c r="L38" s="72">
        <v>2.0</v>
      </c>
      <c r="M38" s="72"/>
    </row>
    <row r="39">
      <c r="B39" s="42" t="s">
        <v>1506</v>
      </c>
      <c r="C39" s="72" t="s">
        <v>1507</v>
      </c>
      <c r="D39" s="92" t="s">
        <v>78</v>
      </c>
      <c r="E39" s="72">
        <v>4.0</v>
      </c>
      <c r="F39" s="72"/>
      <c r="H39" s="41" t="s">
        <v>1508</v>
      </c>
      <c r="I39" s="17"/>
      <c r="J39" s="72" t="s">
        <v>78</v>
      </c>
      <c r="K39" s="92" t="s">
        <v>78</v>
      </c>
      <c r="L39" s="72">
        <v>2.0</v>
      </c>
      <c r="M39" s="72"/>
    </row>
    <row r="40">
      <c r="B40" s="42" t="s">
        <v>1509</v>
      </c>
      <c r="C40" s="72" t="s">
        <v>1510</v>
      </c>
      <c r="D40" s="92" t="s">
        <v>78</v>
      </c>
      <c r="E40" s="72">
        <v>2.0</v>
      </c>
      <c r="F40" s="72" t="s">
        <v>1511</v>
      </c>
      <c r="H40" s="41" t="s">
        <v>1512</v>
      </c>
      <c r="I40" s="17"/>
      <c r="J40" s="72" t="s">
        <v>78</v>
      </c>
      <c r="K40" s="92" t="s">
        <v>78</v>
      </c>
      <c r="L40" s="72">
        <v>1.0</v>
      </c>
      <c r="M40" s="72"/>
    </row>
    <row r="41">
      <c r="B41" s="42" t="s">
        <v>1513</v>
      </c>
      <c r="C41" s="72" t="s">
        <v>69</v>
      </c>
      <c r="D41" s="92" t="s">
        <v>78</v>
      </c>
      <c r="E41" s="72">
        <v>1.0</v>
      </c>
      <c r="F41" s="72" t="s">
        <v>1514</v>
      </c>
      <c r="H41" s="41" t="s">
        <v>1515</v>
      </c>
      <c r="I41" s="17"/>
      <c r="J41" s="72" t="s">
        <v>441</v>
      </c>
      <c r="K41" s="92">
        <v>44.70926</v>
      </c>
      <c r="L41" s="72">
        <v>1.0</v>
      </c>
      <c r="M41" s="72"/>
    </row>
    <row r="42">
      <c r="B42" s="42" t="s">
        <v>1516</v>
      </c>
      <c r="C42" s="72" t="s">
        <v>120</v>
      </c>
      <c r="D42" s="92" t="s">
        <v>1517</v>
      </c>
      <c r="E42" s="72">
        <v>1.0</v>
      </c>
      <c r="F42" s="72"/>
      <c r="H42" s="41" t="s">
        <v>1518</v>
      </c>
      <c r="I42" s="17"/>
      <c r="J42" s="72" t="s">
        <v>78</v>
      </c>
      <c r="K42" s="92">
        <v>4475116.0</v>
      </c>
      <c r="L42" s="72">
        <v>1.0</v>
      </c>
      <c r="M42" s="72"/>
    </row>
    <row r="43">
      <c r="B43" s="42" t="s">
        <v>1519</v>
      </c>
      <c r="C43" s="72" t="s">
        <v>1520</v>
      </c>
      <c r="D43" s="92" t="s">
        <v>1521</v>
      </c>
      <c r="E43" s="72">
        <v>1.0</v>
      </c>
      <c r="F43" s="72"/>
      <c r="H43" s="42" t="s">
        <v>1522</v>
      </c>
      <c r="I43" s="42"/>
      <c r="J43" s="72" t="s">
        <v>120</v>
      </c>
      <c r="K43" s="92" t="s">
        <v>1503</v>
      </c>
      <c r="L43" s="72">
        <v>1.0</v>
      </c>
      <c r="M43" s="72"/>
    </row>
    <row r="44">
      <c r="B44" s="42" t="s">
        <v>1523</v>
      </c>
      <c r="C44" s="72" t="s">
        <v>1422</v>
      </c>
      <c r="D44" s="92" t="s">
        <v>1524</v>
      </c>
      <c r="E44" s="72">
        <v>2.0</v>
      </c>
      <c r="F44" s="72"/>
      <c r="H44" s="41" t="s">
        <v>1525</v>
      </c>
      <c r="I44" s="17"/>
      <c r="J44" s="72" t="s">
        <v>78</v>
      </c>
      <c r="K44" s="92" t="s">
        <v>78</v>
      </c>
      <c r="L44" s="72">
        <v>1.0</v>
      </c>
      <c r="M44" s="72"/>
    </row>
    <row r="45">
      <c r="B45" s="42" t="s">
        <v>1526</v>
      </c>
      <c r="C45" s="72" t="s">
        <v>78</v>
      </c>
      <c r="D45" s="72" t="s">
        <v>78</v>
      </c>
      <c r="E45" s="72">
        <v>1.0</v>
      </c>
      <c r="F45" s="72"/>
      <c r="H45" s="36" t="s">
        <v>38</v>
      </c>
      <c r="I45" s="17"/>
      <c r="J45" s="28">
        <f>SUM(L27:L44)</f>
        <v>32</v>
      </c>
      <c r="K45" s="16"/>
      <c r="L45" s="16"/>
      <c r="M45" s="17"/>
    </row>
    <row r="46">
      <c r="B46" s="42" t="s">
        <v>1527</v>
      </c>
      <c r="C46" s="72" t="s">
        <v>1422</v>
      </c>
      <c r="D46" s="72" t="s">
        <v>1528</v>
      </c>
      <c r="E46" s="72">
        <v>7.0</v>
      </c>
      <c r="F46" s="72"/>
    </row>
    <row r="47">
      <c r="B47" s="41" t="s">
        <v>1529</v>
      </c>
      <c r="C47" s="72" t="s">
        <v>78</v>
      </c>
      <c r="D47" s="72" t="s">
        <v>78</v>
      </c>
      <c r="E47" s="72">
        <v>1.0</v>
      </c>
      <c r="F47" s="72"/>
    </row>
    <row r="48">
      <c r="B48" s="41" t="s">
        <v>1530</v>
      </c>
      <c r="C48" s="72" t="s">
        <v>120</v>
      </c>
      <c r="D48" s="92">
        <v>46.38015</v>
      </c>
      <c r="E48" s="72">
        <v>9.0</v>
      </c>
      <c r="F48" s="72"/>
      <c r="H48" s="28" t="s">
        <v>58</v>
      </c>
      <c r="I48" s="16"/>
      <c r="J48" s="16"/>
      <c r="K48" s="16"/>
      <c r="L48" s="16"/>
      <c r="M48" s="17"/>
    </row>
    <row r="49">
      <c r="B49" s="269" t="s">
        <v>1530</v>
      </c>
      <c r="C49" s="63" t="s">
        <v>1531</v>
      </c>
      <c r="D49" s="63" t="s">
        <v>1532</v>
      </c>
      <c r="E49" s="270">
        <v>1.0</v>
      </c>
      <c r="F49" s="63"/>
      <c r="H49" s="28" t="s">
        <v>14</v>
      </c>
      <c r="I49" s="16"/>
      <c r="J49" s="16"/>
      <c r="K49" s="16"/>
      <c r="L49" s="16"/>
      <c r="M49" s="17"/>
    </row>
    <row r="50">
      <c r="B50" s="63" t="s">
        <v>1533</v>
      </c>
      <c r="C50" s="63" t="s">
        <v>1534</v>
      </c>
      <c r="D50" s="63" t="s">
        <v>1535</v>
      </c>
      <c r="E50" s="270">
        <v>1.0</v>
      </c>
      <c r="F50" s="63"/>
      <c r="H50" s="28" t="s">
        <v>60</v>
      </c>
      <c r="I50" s="17"/>
      <c r="J50" s="30" t="s">
        <v>16</v>
      </c>
      <c r="K50" s="30" t="s">
        <v>17</v>
      </c>
      <c r="L50" s="30" t="s">
        <v>18</v>
      </c>
      <c r="M50" s="30" t="s">
        <v>19</v>
      </c>
    </row>
    <row r="51">
      <c r="B51" s="63" t="s">
        <v>1536</v>
      </c>
      <c r="C51" s="63" t="s">
        <v>1537</v>
      </c>
      <c r="D51" s="63" t="s">
        <v>78</v>
      </c>
      <c r="E51" s="270">
        <v>1.0</v>
      </c>
      <c r="F51" s="63"/>
      <c r="H51" s="28" t="s">
        <v>1538</v>
      </c>
      <c r="I51" s="17"/>
      <c r="J51" s="229"/>
      <c r="K51" s="229"/>
      <c r="L51" s="229"/>
      <c r="M51" s="229"/>
    </row>
    <row r="52">
      <c r="B52" s="63" t="s">
        <v>1539</v>
      </c>
      <c r="C52" s="63" t="s">
        <v>1540</v>
      </c>
      <c r="D52" s="63" t="s">
        <v>1541</v>
      </c>
      <c r="E52" s="270">
        <v>1.0</v>
      </c>
      <c r="F52" s="63"/>
      <c r="H52" s="53" t="s">
        <v>1542</v>
      </c>
      <c r="I52" s="17"/>
      <c r="J52" s="72" t="s">
        <v>120</v>
      </c>
      <c r="K52" s="92" t="s">
        <v>1543</v>
      </c>
      <c r="L52" s="182">
        <v>1.0</v>
      </c>
      <c r="M52" s="72"/>
      <c r="N52" s="187">
        <v>1.0</v>
      </c>
    </row>
    <row r="53">
      <c r="B53" s="63" t="s">
        <v>1544</v>
      </c>
      <c r="C53" s="63" t="s">
        <v>1545</v>
      </c>
      <c r="D53" s="63" t="s">
        <v>78</v>
      </c>
      <c r="E53" s="270">
        <v>2.0</v>
      </c>
      <c r="F53" s="63" t="s">
        <v>1546</v>
      </c>
      <c r="H53" s="53" t="s">
        <v>1547</v>
      </c>
      <c r="I53" s="17"/>
      <c r="J53" s="72" t="s">
        <v>120</v>
      </c>
      <c r="K53" s="92" t="s">
        <v>1548</v>
      </c>
      <c r="L53" s="182">
        <v>4.0</v>
      </c>
      <c r="M53" s="72"/>
      <c r="N53" s="187">
        <v>4.0</v>
      </c>
    </row>
    <row r="54">
      <c r="B54" s="63" t="s">
        <v>1549</v>
      </c>
      <c r="C54" s="63" t="s">
        <v>1550</v>
      </c>
      <c r="D54" s="63" t="s">
        <v>78</v>
      </c>
      <c r="E54" s="270">
        <v>1.0</v>
      </c>
      <c r="F54" s="63"/>
      <c r="H54" s="53" t="s">
        <v>1205</v>
      </c>
      <c r="I54" s="17"/>
      <c r="J54" s="72" t="s">
        <v>1217</v>
      </c>
      <c r="K54" s="92" t="s">
        <v>1551</v>
      </c>
      <c r="L54" s="182">
        <v>1.0</v>
      </c>
      <c r="M54" s="72" t="s">
        <v>1552</v>
      </c>
      <c r="N54" s="187">
        <v>1.0</v>
      </c>
    </row>
    <row r="55">
      <c r="B55" s="63" t="s">
        <v>1553</v>
      </c>
      <c r="C55" s="63" t="s">
        <v>1554</v>
      </c>
      <c r="D55" s="63">
        <v>3070565.0</v>
      </c>
      <c r="E55" s="270">
        <v>2.0</v>
      </c>
      <c r="F55" s="63"/>
      <c r="H55" s="53" t="s">
        <v>1555</v>
      </c>
      <c r="I55" s="17"/>
      <c r="J55" s="72" t="s">
        <v>120</v>
      </c>
      <c r="K55" s="92" t="s">
        <v>78</v>
      </c>
      <c r="L55" s="182">
        <v>1.0</v>
      </c>
      <c r="M55" s="72"/>
      <c r="N55" s="187">
        <v>1.0</v>
      </c>
    </row>
    <row r="56">
      <c r="B56" s="63" t="s">
        <v>1556</v>
      </c>
      <c r="C56" s="63" t="s">
        <v>998</v>
      </c>
      <c r="D56" s="63" t="s">
        <v>78</v>
      </c>
      <c r="E56" s="270">
        <v>1.0</v>
      </c>
      <c r="F56" s="63" t="s">
        <v>1557</v>
      </c>
      <c r="H56" s="53" t="s">
        <v>1558</v>
      </c>
      <c r="I56" s="17"/>
      <c r="J56" s="72" t="s">
        <v>120</v>
      </c>
      <c r="K56" s="92">
        <v>64.12019</v>
      </c>
      <c r="L56" s="182">
        <v>1.0</v>
      </c>
      <c r="M56" s="72" t="s">
        <v>1559</v>
      </c>
      <c r="N56" s="187">
        <v>1.0</v>
      </c>
    </row>
    <row r="57">
      <c r="B57" s="63" t="s">
        <v>1560</v>
      </c>
      <c r="C57" s="63" t="s">
        <v>120</v>
      </c>
      <c r="D57" s="63">
        <v>4655616.0</v>
      </c>
      <c r="E57" s="270">
        <v>1.0</v>
      </c>
      <c r="F57" s="63"/>
      <c r="H57" s="41" t="s">
        <v>1325</v>
      </c>
      <c r="I57" s="17"/>
      <c r="J57" s="72" t="s">
        <v>120</v>
      </c>
      <c r="K57" s="92">
        <v>24290.18</v>
      </c>
      <c r="L57" s="72">
        <v>2.0</v>
      </c>
      <c r="M57" s="72"/>
    </row>
    <row r="58">
      <c r="B58" s="63" t="s">
        <v>1561</v>
      </c>
      <c r="C58" s="63" t="s">
        <v>197</v>
      </c>
      <c r="D58" s="63" t="s">
        <v>1562</v>
      </c>
      <c r="E58" s="270">
        <v>1.0</v>
      </c>
      <c r="F58" s="63"/>
      <c r="H58" s="42" t="s">
        <v>1325</v>
      </c>
      <c r="I58" s="42"/>
      <c r="J58" s="72" t="s">
        <v>1563</v>
      </c>
      <c r="K58" s="92" t="s">
        <v>1564</v>
      </c>
      <c r="L58" s="72">
        <v>1.0</v>
      </c>
      <c r="M58" s="72"/>
    </row>
    <row r="59">
      <c r="B59" s="63" t="s">
        <v>1410</v>
      </c>
      <c r="C59" s="63" t="s">
        <v>1540</v>
      </c>
      <c r="D59" s="63" t="s">
        <v>1565</v>
      </c>
      <c r="E59" s="270">
        <v>1.0</v>
      </c>
      <c r="F59" s="63"/>
      <c r="H59" s="41" t="s">
        <v>1566</v>
      </c>
      <c r="I59" s="17"/>
      <c r="J59" s="72" t="s">
        <v>120</v>
      </c>
      <c r="K59" s="92" t="s">
        <v>1567</v>
      </c>
      <c r="L59" s="72">
        <v>1.0</v>
      </c>
      <c r="M59" s="72"/>
    </row>
    <row r="60">
      <c r="B60" s="63" t="s">
        <v>1568</v>
      </c>
      <c r="C60" s="63" t="s">
        <v>1422</v>
      </c>
      <c r="D60" s="63" t="s">
        <v>1569</v>
      </c>
      <c r="E60" s="270">
        <v>1.0</v>
      </c>
      <c r="F60" s="63"/>
      <c r="H60" s="41" t="s">
        <v>1570</v>
      </c>
      <c r="I60" s="17"/>
      <c r="J60" s="72" t="s">
        <v>1190</v>
      </c>
      <c r="K60" s="92" t="s">
        <v>1571</v>
      </c>
      <c r="L60" s="72">
        <v>1.0</v>
      </c>
      <c r="M60" s="72"/>
    </row>
    <row r="61">
      <c r="B61" s="63" t="s">
        <v>428</v>
      </c>
      <c r="C61" s="63" t="s">
        <v>1572</v>
      </c>
      <c r="D61" s="63" t="s">
        <v>1573</v>
      </c>
      <c r="E61" s="270">
        <v>1.0</v>
      </c>
      <c r="F61" s="63"/>
      <c r="H61" s="41" t="s">
        <v>1574</v>
      </c>
      <c r="I61" s="17"/>
      <c r="J61" s="72" t="s">
        <v>78</v>
      </c>
      <c r="K61" s="92" t="s">
        <v>78</v>
      </c>
      <c r="L61" s="72">
        <v>1.0</v>
      </c>
      <c r="M61" s="72"/>
    </row>
    <row r="62">
      <c r="B62" s="63" t="s">
        <v>1575</v>
      </c>
      <c r="C62" s="63" t="s">
        <v>78</v>
      </c>
      <c r="D62" s="63" t="s">
        <v>78</v>
      </c>
      <c r="E62" s="270">
        <v>1.0</v>
      </c>
      <c r="F62" s="63"/>
      <c r="H62" s="263" t="s">
        <v>1576</v>
      </c>
      <c r="I62" s="17"/>
      <c r="J62" s="271" t="s">
        <v>120</v>
      </c>
      <c r="K62" s="272" t="s">
        <v>1577</v>
      </c>
      <c r="L62" s="271">
        <v>0.0</v>
      </c>
      <c r="M62" s="271" t="s">
        <v>1578</v>
      </c>
    </row>
    <row r="63">
      <c r="B63" s="63" t="s">
        <v>1579</v>
      </c>
      <c r="C63" s="63" t="s">
        <v>78</v>
      </c>
      <c r="D63" s="63" t="s">
        <v>78</v>
      </c>
      <c r="E63" s="270">
        <v>2.0</v>
      </c>
      <c r="F63" s="63" t="s">
        <v>1580</v>
      </c>
      <c r="H63" s="263" t="s">
        <v>1581</v>
      </c>
      <c r="I63" s="17"/>
      <c r="J63" s="271" t="s">
        <v>120</v>
      </c>
      <c r="K63" s="272" t="s">
        <v>1582</v>
      </c>
      <c r="L63" s="271">
        <v>0.0</v>
      </c>
      <c r="M63" s="271" t="s">
        <v>1578</v>
      </c>
    </row>
    <row r="64">
      <c r="B64" s="63" t="s">
        <v>1583</v>
      </c>
      <c r="C64" s="63" t="s">
        <v>78</v>
      </c>
      <c r="D64" s="63" t="s">
        <v>78</v>
      </c>
      <c r="E64" s="270">
        <v>1.0</v>
      </c>
      <c r="F64" s="63"/>
      <c r="H64" s="41" t="s">
        <v>1584</v>
      </c>
      <c r="I64" s="17"/>
      <c r="J64" s="72" t="s">
        <v>120</v>
      </c>
      <c r="K64" s="92" t="s">
        <v>1585</v>
      </c>
      <c r="L64" s="72">
        <v>2.0</v>
      </c>
      <c r="M64" s="72"/>
    </row>
    <row r="65">
      <c r="B65" s="4" t="s">
        <v>1586</v>
      </c>
      <c r="C65" s="4"/>
      <c r="D65" s="4"/>
      <c r="E65" s="4">
        <v>1.0</v>
      </c>
      <c r="F65" s="4"/>
      <c r="H65" s="53" t="s">
        <v>1587</v>
      </c>
      <c r="I65" s="17"/>
      <c r="J65" s="72" t="s">
        <v>120</v>
      </c>
      <c r="K65" s="92" t="s">
        <v>1588</v>
      </c>
      <c r="L65" s="182">
        <v>6.0</v>
      </c>
      <c r="M65" s="72"/>
      <c r="N65" s="187">
        <v>6.0</v>
      </c>
    </row>
    <row r="66">
      <c r="B66" s="4" t="s">
        <v>1589</v>
      </c>
      <c r="C66" s="4"/>
      <c r="D66" s="4"/>
      <c r="E66" s="4">
        <v>2.0</v>
      </c>
      <c r="F66" s="4"/>
      <c r="H66" s="53" t="s">
        <v>1590</v>
      </c>
      <c r="I66" s="17"/>
      <c r="J66" s="72" t="s">
        <v>1591</v>
      </c>
      <c r="K66" s="92" t="s">
        <v>1592</v>
      </c>
      <c r="L66" s="182">
        <v>1.0</v>
      </c>
      <c r="M66" s="72"/>
      <c r="N66" s="187">
        <v>1.0</v>
      </c>
    </row>
    <row r="67">
      <c r="B67" s="4" t="s">
        <v>1593</v>
      </c>
      <c r="C67" s="4"/>
      <c r="D67" s="4"/>
      <c r="E67" s="4">
        <v>1.0</v>
      </c>
      <c r="F67" s="4"/>
      <c r="H67" s="145" t="s">
        <v>1594</v>
      </c>
      <c r="I67" s="17"/>
      <c r="J67" s="4" t="s">
        <v>1415</v>
      </c>
      <c r="K67" s="4" t="s">
        <v>1595</v>
      </c>
      <c r="L67" s="182">
        <v>1.0</v>
      </c>
      <c r="M67" s="4"/>
      <c r="N67" s="187">
        <v>1.0</v>
      </c>
    </row>
    <row r="68">
      <c r="B68" s="4" t="s">
        <v>1596</v>
      </c>
      <c r="C68" s="4"/>
      <c r="D68" s="4"/>
      <c r="E68" s="4">
        <v>1.0</v>
      </c>
      <c r="F68" s="4"/>
      <c r="H68" s="145" t="s">
        <v>1597</v>
      </c>
      <c r="I68" s="17"/>
      <c r="J68" s="4" t="s">
        <v>1415</v>
      </c>
      <c r="K68" s="4" t="s">
        <v>1598</v>
      </c>
      <c r="L68" s="182">
        <v>1.0</v>
      </c>
      <c r="M68" s="4"/>
      <c r="N68" s="187">
        <v>1.0</v>
      </c>
    </row>
    <row r="69">
      <c r="B69" s="4" t="s">
        <v>1599</v>
      </c>
      <c r="C69" s="4"/>
      <c r="D69" s="4"/>
      <c r="E69" s="4">
        <v>1.0</v>
      </c>
      <c r="F69" s="4"/>
      <c r="H69" s="145" t="s">
        <v>1600</v>
      </c>
      <c r="I69" s="17"/>
      <c r="J69" s="4" t="s">
        <v>1415</v>
      </c>
      <c r="K69" s="4" t="s">
        <v>1601</v>
      </c>
      <c r="L69" s="182">
        <v>1.0</v>
      </c>
      <c r="M69" s="4"/>
      <c r="N69" s="187">
        <v>1.0</v>
      </c>
    </row>
    <row r="70">
      <c r="B70" s="4" t="s">
        <v>1602</v>
      </c>
      <c r="C70" s="4"/>
      <c r="D70" s="4"/>
      <c r="E70" s="4">
        <v>1.0</v>
      </c>
      <c r="F70" s="4"/>
      <c r="H70" s="25" t="s">
        <v>1603</v>
      </c>
      <c r="I70" s="17"/>
      <c r="J70" s="4" t="s">
        <v>1415</v>
      </c>
      <c r="K70" s="4" t="s">
        <v>1604</v>
      </c>
      <c r="L70" s="4">
        <v>2.0</v>
      </c>
      <c r="M70" s="4"/>
    </row>
    <row r="71">
      <c r="B71" s="4" t="s">
        <v>1605</v>
      </c>
      <c r="C71" s="4"/>
      <c r="D71" s="4"/>
      <c r="E71" s="4">
        <v>1.0</v>
      </c>
      <c r="F71" s="4"/>
      <c r="H71" s="145" t="s">
        <v>1606</v>
      </c>
      <c r="I71" s="17"/>
      <c r="J71" s="4" t="s">
        <v>1415</v>
      </c>
      <c r="K71" s="4" t="s">
        <v>1607</v>
      </c>
      <c r="L71" s="182">
        <v>1.0</v>
      </c>
      <c r="M71" s="4"/>
      <c r="N71" s="187">
        <v>1.0</v>
      </c>
    </row>
    <row r="72">
      <c r="B72" s="4" t="s">
        <v>1608</v>
      </c>
      <c r="C72" s="4"/>
      <c r="D72" s="4"/>
      <c r="E72" s="4">
        <v>1.0</v>
      </c>
      <c r="F72" s="4"/>
      <c r="H72" s="145" t="s">
        <v>1609</v>
      </c>
      <c r="I72" s="17"/>
      <c r="J72" s="4" t="s">
        <v>1415</v>
      </c>
      <c r="K72" s="4" t="s">
        <v>1610</v>
      </c>
      <c r="L72" s="182">
        <v>1.0</v>
      </c>
      <c r="M72" s="4"/>
      <c r="N72" s="187">
        <v>1.0</v>
      </c>
    </row>
    <row r="73">
      <c r="B73" s="4"/>
      <c r="C73" s="4"/>
      <c r="D73" s="4"/>
      <c r="E73" s="4"/>
      <c r="F73" s="4"/>
      <c r="H73" s="145" t="s">
        <v>1611</v>
      </c>
      <c r="I73" s="17"/>
      <c r="J73" s="4" t="s">
        <v>1415</v>
      </c>
      <c r="K73" s="4" t="s">
        <v>1612</v>
      </c>
      <c r="L73" s="182">
        <v>1.0</v>
      </c>
      <c r="M73" s="4"/>
      <c r="N73" s="187">
        <v>1.0</v>
      </c>
    </row>
    <row r="74">
      <c r="B74" s="177" t="s">
        <v>38</v>
      </c>
      <c r="C74" s="273"/>
      <c r="D74" s="273"/>
      <c r="E74" s="274">
        <f>SUM(E27:E73)</f>
        <v>73</v>
      </c>
      <c r="F74" s="273"/>
      <c r="H74" s="275" t="s">
        <v>38</v>
      </c>
      <c r="I74" s="17"/>
      <c r="J74" s="92"/>
      <c r="K74" s="92"/>
      <c r="L74" s="219">
        <f>SUM(L52:L73)</f>
        <v>31</v>
      </c>
      <c r="M74" s="92"/>
      <c r="N74" s="199">
        <f>SUM(N52:N73)</f>
        <v>21</v>
      </c>
    </row>
    <row r="77">
      <c r="B77" s="28" t="s">
        <v>58</v>
      </c>
      <c r="C77" s="16"/>
      <c r="D77" s="16"/>
      <c r="E77" s="16"/>
      <c r="F77" s="17"/>
      <c r="H77" s="28" t="s">
        <v>58</v>
      </c>
      <c r="I77" s="16"/>
      <c r="J77" s="16"/>
      <c r="K77" s="16"/>
      <c r="L77" s="16"/>
      <c r="M77" s="17"/>
    </row>
    <row r="78">
      <c r="B78" s="28" t="s">
        <v>14</v>
      </c>
      <c r="C78" s="16"/>
      <c r="D78" s="16"/>
      <c r="E78" s="16"/>
      <c r="F78" s="17"/>
      <c r="H78" s="28" t="s">
        <v>14</v>
      </c>
      <c r="I78" s="16"/>
      <c r="J78" s="16"/>
      <c r="K78" s="16"/>
      <c r="L78" s="16"/>
      <c r="M78" s="17"/>
    </row>
    <row r="79">
      <c r="B79" s="30" t="s">
        <v>60</v>
      </c>
      <c r="C79" s="30" t="s">
        <v>16</v>
      </c>
      <c r="D79" s="30" t="s">
        <v>17</v>
      </c>
      <c r="E79" s="30" t="s">
        <v>18</v>
      </c>
      <c r="F79" s="30" t="s">
        <v>19</v>
      </c>
      <c r="H79" s="28" t="s">
        <v>60</v>
      </c>
      <c r="I79" s="17"/>
      <c r="J79" s="30" t="s">
        <v>16</v>
      </c>
      <c r="K79" s="30" t="s">
        <v>17</v>
      </c>
      <c r="L79" s="30" t="s">
        <v>18</v>
      </c>
      <c r="M79" s="30" t="s">
        <v>19</v>
      </c>
    </row>
    <row r="80">
      <c r="B80" s="163" t="s">
        <v>1613</v>
      </c>
      <c r="C80" s="17"/>
      <c r="D80" s="72"/>
      <c r="E80" s="72"/>
      <c r="F80" s="72"/>
      <c r="H80" s="28" t="s">
        <v>1614</v>
      </c>
      <c r="I80" s="17"/>
      <c r="J80" s="229"/>
      <c r="K80" s="229"/>
      <c r="L80" s="229"/>
      <c r="M80" s="229" t="s">
        <v>1465</v>
      </c>
    </row>
    <row r="81">
      <c r="B81" s="42" t="s">
        <v>1615</v>
      </c>
      <c r="C81" s="72" t="s">
        <v>998</v>
      </c>
      <c r="D81" s="92" t="s">
        <v>1616</v>
      </c>
      <c r="E81" s="72">
        <v>1.0</v>
      </c>
      <c r="F81" s="72"/>
      <c r="H81" s="41" t="s">
        <v>1617</v>
      </c>
      <c r="I81" s="17"/>
      <c r="J81" s="72" t="s">
        <v>1618</v>
      </c>
      <c r="K81" s="92" t="s">
        <v>1619</v>
      </c>
      <c r="L81" s="72">
        <v>1.0</v>
      </c>
      <c r="M81" s="72"/>
    </row>
    <row r="82">
      <c r="B82" s="42" t="s">
        <v>1620</v>
      </c>
      <c r="C82" s="72" t="s">
        <v>998</v>
      </c>
      <c r="D82" s="92" t="s">
        <v>78</v>
      </c>
      <c r="E82" s="72">
        <v>2.0</v>
      </c>
      <c r="F82" s="72"/>
      <c r="H82" s="41" t="s">
        <v>1621</v>
      </c>
      <c r="I82" s="17"/>
      <c r="J82" s="72" t="s">
        <v>1618</v>
      </c>
      <c r="K82" s="92" t="s">
        <v>1622</v>
      </c>
      <c r="L82" s="72">
        <v>2.0</v>
      </c>
      <c r="M82" s="72"/>
    </row>
    <row r="83">
      <c r="B83" s="42" t="s">
        <v>1620</v>
      </c>
      <c r="C83" s="72" t="s">
        <v>120</v>
      </c>
      <c r="D83" s="92" t="s">
        <v>78</v>
      </c>
      <c r="E83" s="72">
        <v>1.0</v>
      </c>
      <c r="F83" s="72"/>
      <c r="H83" s="41" t="s">
        <v>1623</v>
      </c>
      <c r="I83" s="17"/>
      <c r="J83" s="72" t="s">
        <v>1618</v>
      </c>
      <c r="K83" s="92" t="s">
        <v>1624</v>
      </c>
      <c r="L83" s="72">
        <v>2.0</v>
      </c>
      <c r="M83" s="72"/>
    </row>
    <row r="84">
      <c r="B84" s="42" t="s">
        <v>1620</v>
      </c>
      <c r="C84" s="72" t="s">
        <v>78</v>
      </c>
      <c r="D84" s="92" t="s">
        <v>78</v>
      </c>
      <c r="E84" s="72">
        <v>1.0</v>
      </c>
      <c r="F84" s="72"/>
      <c r="H84" s="41" t="s">
        <v>1625</v>
      </c>
      <c r="I84" s="17"/>
      <c r="J84" s="72" t="s">
        <v>1618</v>
      </c>
      <c r="K84" s="92" t="s">
        <v>78</v>
      </c>
      <c r="L84" s="72">
        <v>1.0</v>
      </c>
      <c r="M84" s="72"/>
    </row>
    <row r="85">
      <c r="B85" s="42" t="s">
        <v>472</v>
      </c>
      <c r="C85" s="72" t="s">
        <v>120</v>
      </c>
      <c r="D85" s="92" t="s">
        <v>1626</v>
      </c>
      <c r="E85" s="72">
        <v>1.0</v>
      </c>
      <c r="F85" s="72"/>
      <c r="H85" s="41" t="s">
        <v>1627</v>
      </c>
      <c r="I85" s="17"/>
      <c r="J85" s="72" t="s">
        <v>1618</v>
      </c>
      <c r="K85" s="92">
        <v>8603.0</v>
      </c>
      <c r="L85" s="72">
        <v>1.0</v>
      </c>
      <c r="M85" s="72"/>
    </row>
    <row r="86">
      <c r="B86" s="42" t="s">
        <v>1628</v>
      </c>
      <c r="C86" s="72" t="s">
        <v>120</v>
      </c>
      <c r="D86" s="92">
        <v>64120.19</v>
      </c>
      <c r="E86" s="72">
        <v>1.0</v>
      </c>
      <c r="F86" s="72"/>
      <c r="H86" s="42" t="s">
        <v>1629</v>
      </c>
      <c r="I86" s="72" t="s">
        <v>1618</v>
      </c>
      <c r="J86" s="72" t="s">
        <v>1618</v>
      </c>
      <c r="K86" s="92" t="s">
        <v>1630</v>
      </c>
      <c r="L86" s="72">
        <v>1.0</v>
      </c>
      <c r="M86" s="72"/>
    </row>
    <row r="87">
      <c r="B87" s="42"/>
      <c r="C87" s="72"/>
      <c r="D87" s="92"/>
      <c r="E87" s="72"/>
      <c r="F87" s="72"/>
      <c r="H87" s="41" t="s">
        <v>1447</v>
      </c>
      <c r="I87" s="17"/>
      <c r="J87" s="72" t="s">
        <v>1618</v>
      </c>
      <c r="K87" s="92" t="s">
        <v>1631</v>
      </c>
      <c r="L87" s="72">
        <v>1.0</v>
      </c>
      <c r="M87" s="72"/>
    </row>
    <row r="88">
      <c r="B88" s="42" t="s">
        <v>1632</v>
      </c>
      <c r="C88" s="72" t="s">
        <v>120</v>
      </c>
      <c r="D88" s="92" t="s">
        <v>1633</v>
      </c>
      <c r="E88" s="72">
        <v>1.0</v>
      </c>
      <c r="F88" s="72"/>
      <c r="H88" s="41" t="s">
        <v>1634</v>
      </c>
      <c r="I88" s="17"/>
      <c r="J88" s="72" t="s">
        <v>1618</v>
      </c>
      <c r="K88" s="92" t="s">
        <v>1635</v>
      </c>
      <c r="L88" s="72">
        <v>2.0</v>
      </c>
      <c r="M88" s="72"/>
    </row>
    <row r="89">
      <c r="B89" s="42" t="s">
        <v>555</v>
      </c>
      <c r="C89" s="72" t="s">
        <v>998</v>
      </c>
      <c r="D89" s="92" t="s">
        <v>1636</v>
      </c>
      <c r="E89" s="72">
        <v>1.0</v>
      </c>
      <c r="F89" s="72"/>
      <c r="H89" s="41" t="s">
        <v>1637</v>
      </c>
      <c r="I89" s="17"/>
      <c r="J89" s="72" t="s">
        <v>1638</v>
      </c>
      <c r="K89" s="92" t="s">
        <v>1639</v>
      </c>
      <c r="L89" s="72">
        <v>1.0</v>
      </c>
      <c r="M89" s="72"/>
    </row>
    <row r="90">
      <c r="B90" s="42" t="s">
        <v>1513</v>
      </c>
      <c r="C90" s="72" t="s">
        <v>78</v>
      </c>
      <c r="D90" s="92" t="s">
        <v>1640</v>
      </c>
      <c r="E90" s="72"/>
      <c r="F90" s="72" t="s">
        <v>212</v>
      </c>
      <c r="H90" s="41" t="s">
        <v>1641</v>
      </c>
      <c r="I90" s="17"/>
      <c r="J90" s="72" t="s">
        <v>1618</v>
      </c>
      <c r="K90" s="92" t="s">
        <v>1642</v>
      </c>
      <c r="L90" s="72">
        <v>2.0</v>
      </c>
      <c r="M90" s="72"/>
    </row>
    <row r="91">
      <c r="B91" s="42" t="s">
        <v>1643</v>
      </c>
      <c r="C91" s="72" t="s">
        <v>998</v>
      </c>
      <c r="D91" s="72" t="s">
        <v>78</v>
      </c>
      <c r="E91" s="72">
        <v>1.0</v>
      </c>
      <c r="F91" s="72"/>
      <c r="H91" s="113" t="s">
        <v>38</v>
      </c>
      <c r="I91" s="17"/>
      <c r="J91" s="163">
        <f>SUM(L81:L90)</f>
        <v>14</v>
      </c>
      <c r="K91" s="16"/>
      <c r="L91" s="16"/>
      <c r="M91" s="17"/>
    </row>
    <row r="92">
      <c r="B92" s="42" t="s">
        <v>1644</v>
      </c>
      <c r="C92" s="72" t="s">
        <v>78</v>
      </c>
      <c r="D92" s="72" t="s">
        <v>1645</v>
      </c>
      <c r="E92" s="72"/>
      <c r="F92" s="72" t="s">
        <v>212</v>
      </c>
    </row>
    <row r="93">
      <c r="B93" s="42" t="s">
        <v>1646</v>
      </c>
      <c r="C93" s="72" t="s">
        <v>1415</v>
      </c>
      <c r="D93" s="92" t="s">
        <v>1647</v>
      </c>
      <c r="E93" s="72">
        <v>1.0</v>
      </c>
      <c r="F93" s="72"/>
    </row>
    <row r="94">
      <c r="B94" s="42" t="s">
        <v>1648</v>
      </c>
      <c r="C94" s="72" t="s">
        <v>78</v>
      </c>
      <c r="D94" s="92" t="s">
        <v>78</v>
      </c>
      <c r="E94" s="72">
        <v>3.0</v>
      </c>
      <c r="F94" s="72"/>
    </row>
    <row r="95">
      <c r="B95" s="42" t="s">
        <v>1555</v>
      </c>
      <c r="C95" s="72" t="s">
        <v>1649</v>
      </c>
      <c r="D95" s="92" t="s">
        <v>78</v>
      </c>
      <c r="E95" s="72">
        <v>1.0</v>
      </c>
      <c r="F95" s="72"/>
    </row>
    <row r="96">
      <c r="B96" s="42" t="s">
        <v>1212</v>
      </c>
      <c r="C96" s="72" t="s">
        <v>120</v>
      </c>
      <c r="D96" s="92" t="s">
        <v>1650</v>
      </c>
      <c r="E96" s="72">
        <v>1.0</v>
      </c>
      <c r="F96" s="72"/>
    </row>
    <row r="97">
      <c r="B97" s="42" t="s">
        <v>1651</v>
      </c>
      <c r="C97" s="72" t="s">
        <v>998</v>
      </c>
      <c r="D97" s="72" t="s">
        <v>1652</v>
      </c>
      <c r="E97" s="72">
        <v>1.0</v>
      </c>
      <c r="F97" s="72"/>
    </row>
    <row r="98">
      <c r="B98" s="177" t="s">
        <v>38</v>
      </c>
      <c r="C98" s="72"/>
      <c r="D98" s="72"/>
      <c r="E98" s="72">
        <f>SUM(E80:E97)</f>
        <v>17</v>
      </c>
      <c r="F98" s="72"/>
    </row>
    <row r="99">
      <c r="B99" s="276" t="s">
        <v>1653</v>
      </c>
      <c r="C99" s="10"/>
    </row>
    <row r="100">
      <c r="B100" s="277"/>
      <c r="C100" s="10"/>
    </row>
    <row r="101">
      <c r="B101" s="278" t="s">
        <v>1654</v>
      </c>
      <c r="C101" s="10"/>
    </row>
    <row r="102">
      <c r="B102" s="277"/>
      <c r="C102" s="10"/>
    </row>
    <row r="103">
      <c r="B103" s="278" t="s">
        <v>1655</v>
      </c>
      <c r="C103" s="10"/>
    </row>
    <row r="104">
      <c r="B104" s="277"/>
      <c r="C104" s="10"/>
    </row>
    <row r="105">
      <c r="B105" s="278" t="s">
        <v>1656</v>
      </c>
      <c r="C105" s="10"/>
    </row>
    <row r="106">
      <c r="B106" s="277"/>
      <c r="C106" s="10"/>
    </row>
    <row r="107">
      <c r="B107" s="278" t="s">
        <v>1657</v>
      </c>
      <c r="C107" s="10"/>
    </row>
    <row r="108">
      <c r="B108" s="277"/>
      <c r="C108" s="10"/>
    </row>
    <row r="109">
      <c r="B109" s="278" t="s">
        <v>1658</v>
      </c>
      <c r="C109" s="10"/>
    </row>
    <row r="110">
      <c r="B110" s="277"/>
      <c r="C110" s="10"/>
    </row>
    <row r="111">
      <c r="B111" s="278" t="s">
        <v>1659</v>
      </c>
      <c r="C111" s="10"/>
    </row>
    <row r="112">
      <c r="B112" s="277"/>
      <c r="C112" s="10"/>
    </row>
    <row r="113">
      <c r="B113" s="278" t="s">
        <v>1660</v>
      </c>
      <c r="C113" s="10"/>
    </row>
    <row r="114">
      <c r="B114" s="277"/>
      <c r="C114" s="10"/>
    </row>
    <row r="115">
      <c r="B115" s="278" t="s">
        <v>1661</v>
      </c>
      <c r="C115" s="10"/>
    </row>
    <row r="116">
      <c r="B116" s="277"/>
      <c r="C116" s="10"/>
    </row>
    <row r="117">
      <c r="B117" s="278" t="s">
        <v>1662</v>
      </c>
      <c r="C117" s="10"/>
    </row>
    <row r="118">
      <c r="B118" s="277"/>
      <c r="C118" s="10"/>
    </row>
    <row r="119">
      <c r="B119" s="278" t="s">
        <v>1663</v>
      </c>
      <c r="C119" s="10"/>
    </row>
  </sheetData>
  <mergeCells count="92">
    <mergeCell ref="H40:I40"/>
    <mergeCell ref="H41:I41"/>
    <mergeCell ref="H42:I42"/>
    <mergeCell ref="H44:I44"/>
    <mergeCell ref="H45:I45"/>
    <mergeCell ref="J45:M45"/>
    <mergeCell ref="H48:M48"/>
    <mergeCell ref="H49:M49"/>
    <mergeCell ref="H50:I50"/>
    <mergeCell ref="H51:I51"/>
    <mergeCell ref="H52:I52"/>
    <mergeCell ref="H53:I53"/>
    <mergeCell ref="H54:I54"/>
    <mergeCell ref="H55:I55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B77:F77"/>
    <mergeCell ref="H77:M77"/>
    <mergeCell ref="B78:F78"/>
    <mergeCell ref="H78:M78"/>
    <mergeCell ref="B80:C80"/>
    <mergeCell ref="H87:I87"/>
    <mergeCell ref="H88:I88"/>
    <mergeCell ref="H89:I89"/>
    <mergeCell ref="H90:I90"/>
    <mergeCell ref="H91:I91"/>
    <mergeCell ref="J91:M91"/>
    <mergeCell ref="H79:I79"/>
    <mergeCell ref="H80:I80"/>
    <mergeCell ref="H81:I81"/>
    <mergeCell ref="H82:I82"/>
    <mergeCell ref="H83:I83"/>
    <mergeCell ref="H84:I84"/>
    <mergeCell ref="H85:I85"/>
    <mergeCell ref="B1:F1"/>
    <mergeCell ref="H1:M1"/>
    <mergeCell ref="B2:F2"/>
    <mergeCell ref="H2:M2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20:I20"/>
    <mergeCell ref="H21:I21"/>
    <mergeCell ref="H22:N22"/>
    <mergeCell ref="B23:F23"/>
    <mergeCell ref="H23:M23"/>
    <mergeCell ref="B24:F24"/>
    <mergeCell ref="H24:M24"/>
    <mergeCell ref="H13:I13"/>
    <mergeCell ref="H14:I14"/>
    <mergeCell ref="H15:I15"/>
    <mergeCell ref="H16:I16"/>
    <mergeCell ref="H17:I17"/>
    <mergeCell ref="H18:I18"/>
    <mergeCell ref="H19:I19"/>
    <mergeCell ref="H25:I25"/>
    <mergeCell ref="H26:I26"/>
    <mergeCell ref="H27:I27"/>
    <mergeCell ref="H28:I28"/>
    <mergeCell ref="H29:I29"/>
    <mergeCell ref="H30:I30"/>
    <mergeCell ref="H31:I31"/>
    <mergeCell ref="H33:I33"/>
    <mergeCell ref="H34:I34"/>
    <mergeCell ref="H35:I35"/>
    <mergeCell ref="H36:I36"/>
    <mergeCell ref="H37:I37"/>
    <mergeCell ref="H38:I38"/>
    <mergeCell ref="H39:I39"/>
    <mergeCell ref="H56:I56"/>
    <mergeCell ref="H57:I57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17.71"/>
    <col customWidth="1" min="14" max="14" width="37.43"/>
  </cols>
  <sheetData>
    <row r="1">
      <c r="B1" s="28" t="s">
        <v>58</v>
      </c>
      <c r="C1" s="16"/>
      <c r="D1" s="16"/>
      <c r="E1" s="16"/>
      <c r="F1" s="16"/>
      <c r="G1" s="17"/>
      <c r="I1" s="18" t="s">
        <v>58</v>
      </c>
      <c r="J1" s="16"/>
      <c r="K1" s="16"/>
      <c r="L1" s="16"/>
      <c r="M1" s="16"/>
      <c r="N1" s="17"/>
    </row>
    <row r="2">
      <c r="B2" s="28" t="s">
        <v>14</v>
      </c>
      <c r="C2" s="16"/>
      <c r="D2" s="16"/>
      <c r="E2" s="16"/>
      <c r="F2" s="16"/>
      <c r="G2" s="17"/>
      <c r="I2" s="28" t="s">
        <v>14</v>
      </c>
      <c r="J2" s="16"/>
      <c r="K2" s="16"/>
      <c r="L2" s="16"/>
      <c r="M2" s="16"/>
      <c r="N2" s="17"/>
    </row>
    <row r="3">
      <c r="B3" s="28" t="s">
        <v>60</v>
      </c>
      <c r="C3" s="17"/>
      <c r="D3" s="30" t="s">
        <v>16</v>
      </c>
      <c r="E3" s="30" t="s">
        <v>17</v>
      </c>
      <c r="F3" s="30" t="s">
        <v>18</v>
      </c>
      <c r="G3" s="30" t="s">
        <v>19</v>
      </c>
      <c r="I3" s="28" t="s">
        <v>60</v>
      </c>
      <c r="J3" s="17"/>
      <c r="K3" s="30" t="s">
        <v>16</v>
      </c>
      <c r="L3" s="30" t="s">
        <v>17</v>
      </c>
      <c r="M3" s="30" t="s">
        <v>18</v>
      </c>
      <c r="N3" s="30" t="s">
        <v>19</v>
      </c>
    </row>
    <row r="4">
      <c r="B4" s="28" t="s">
        <v>1664</v>
      </c>
      <c r="C4" s="17"/>
      <c r="D4" s="181"/>
      <c r="E4" s="16"/>
      <c r="F4" s="16"/>
      <c r="G4" s="17"/>
      <c r="I4" s="28" t="s">
        <v>1665</v>
      </c>
      <c r="J4" s="17"/>
      <c r="K4" s="181"/>
      <c r="L4" s="16"/>
      <c r="M4" s="16"/>
      <c r="N4" s="17"/>
    </row>
    <row r="5">
      <c r="B5" s="41" t="s">
        <v>1666</v>
      </c>
      <c r="C5" s="17"/>
      <c r="D5" s="72" t="s">
        <v>1667</v>
      </c>
      <c r="E5" s="72" t="s">
        <v>1668</v>
      </c>
      <c r="F5" s="72">
        <v>2.0</v>
      </c>
      <c r="G5" s="72" t="s">
        <v>1669</v>
      </c>
      <c r="I5" s="53" t="s">
        <v>1666</v>
      </c>
      <c r="J5" s="17"/>
      <c r="K5" s="182" t="s">
        <v>197</v>
      </c>
      <c r="L5" s="182" t="s">
        <v>1670</v>
      </c>
      <c r="M5" s="182">
        <v>3.0</v>
      </c>
      <c r="N5" s="190" t="s">
        <v>1671</v>
      </c>
    </row>
    <row r="6">
      <c r="B6" s="41" t="s">
        <v>726</v>
      </c>
      <c r="C6" s="17"/>
      <c r="D6" s="223" t="s">
        <v>87</v>
      </c>
      <c r="E6" s="72" t="s">
        <v>152</v>
      </c>
      <c r="F6" s="72">
        <v>1.0</v>
      </c>
      <c r="G6" s="72"/>
      <c r="I6" s="53" t="s">
        <v>726</v>
      </c>
      <c r="J6" s="17"/>
      <c r="K6" s="183" t="s">
        <v>87</v>
      </c>
      <c r="L6" s="182" t="s">
        <v>152</v>
      </c>
      <c r="M6" s="182">
        <v>1.0</v>
      </c>
      <c r="N6" s="182"/>
    </row>
    <row r="7">
      <c r="B7" s="41" t="s">
        <v>342</v>
      </c>
      <c r="C7" s="17"/>
      <c r="D7" s="72" t="s">
        <v>78</v>
      </c>
      <c r="E7" s="72" t="s">
        <v>78</v>
      </c>
      <c r="F7" s="72">
        <v>1.0</v>
      </c>
      <c r="G7" s="72"/>
      <c r="I7" s="53" t="s">
        <v>337</v>
      </c>
      <c r="J7" s="17"/>
      <c r="K7" s="182" t="s">
        <v>125</v>
      </c>
      <c r="L7" s="182" t="s">
        <v>1672</v>
      </c>
      <c r="M7" s="182">
        <v>1.0</v>
      </c>
      <c r="N7" s="182" t="s">
        <v>1673</v>
      </c>
    </row>
    <row r="8">
      <c r="B8" s="41" t="s">
        <v>736</v>
      </c>
      <c r="C8" s="17"/>
      <c r="D8" s="72" t="s">
        <v>78</v>
      </c>
      <c r="E8" s="72" t="s">
        <v>1674</v>
      </c>
      <c r="F8" s="72">
        <v>1.0</v>
      </c>
      <c r="G8" s="72"/>
      <c r="I8" s="53" t="s">
        <v>736</v>
      </c>
      <c r="J8" s="17"/>
      <c r="K8" s="182" t="s">
        <v>87</v>
      </c>
      <c r="L8" s="193">
        <v>1010.0</v>
      </c>
      <c r="M8" s="182">
        <v>1.0</v>
      </c>
      <c r="N8" s="182" t="s">
        <v>1675</v>
      </c>
    </row>
    <row r="9">
      <c r="B9" s="41" t="s">
        <v>1676</v>
      </c>
      <c r="C9" s="17"/>
      <c r="D9" s="279" t="s">
        <v>84</v>
      </c>
      <c r="E9" s="177" t="s">
        <v>78</v>
      </c>
      <c r="F9" s="177">
        <v>0.0</v>
      </c>
      <c r="G9" s="177" t="s">
        <v>71</v>
      </c>
      <c r="I9" s="107" t="s">
        <v>1677</v>
      </c>
      <c r="J9" s="17"/>
      <c r="K9" s="182" t="s">
        <v>87</v>
      </c>
      <c r="L9" s="182" t="s">
        <v>1678</v>
      </c>
      <c r="M9" s="182">
        <v>1.0</v>
      </c>
      <c r="N9" s="182"/>
    </row>
    <row r="10">
      <c r="B10" s="73" t="s">
        <v>1679</v>
      </c>
      <c r="C10" s="17"/>
      <c r="D10" s="222" t="s">
        <v>222</v>
      </c>
      <c r="E10" s="72" t="s">
        <v>78</v>
      </c>
      <c r="F10" s="72">
        <v>1.0</v>
      </c>
      <c r="G10" s="72"/>
      <c r="I10" s="113" t="s">
        <v>38</v>
      </c>
      <c r="J10" s="17"/>
      <c r="K10" s="163">
        <f>SUM(M5:M9)</f>
        <v>7</v>
      </c>
      <c r="L10" s="16"/>
      <c r="M10" s="16"/>
      <c r="N10" s="17"/>
    </row>
    <row r="11">
      <c r="B11" s="73" t="s">
        <v>1680</v>
      </c>
      <c r="C11" s="17"/>
      <c r="D11" s="72" t="s">
        <v>78</v>
      </c>
      <c r="E11" s="72" t="s">
        <v>78</v>
      </c>
      <c r="F11" s="72">
        <v>1.0</v>
      </c>
      <c r="G11" s="72"/>
      <c r="I11" s="280" t="s">
        <v>1681</v>
      </c>
    </row>
    <row r="12">
      <c r="B12" s="113" t="s">
        <v>38</v>
      </c>
      <c r="C12" s="17"/>
      <c r="D12" s="163"/>
      <c r="E12" s="273"/>
      <c r="F12" s="273">
        <f>SUM(F5:F11)</f>
        <v>7</v>
      </c>
      <c r="G12" s="273"/>
    </row>
    <row r="13">
      <c r="L13" s="24"/>
    </row>
    <row r="14">
      <c r="I14" s="24"/>
      <c r="J14" s="24"/>
      <c r="K14" s="24"/>
      <c r="L14" s="24"/>
    </row>
    <row r="17">
      <c r="B17" s="28" t="s">
        <v>58</v>
      </c>
      <c r="C17" s="16"/>
      <c r="D17" s="16"/>
      <c r="E17" s="16"/>
      <c r="F17" s="16"/>
      <c r="G17" s="17"/>
    </row>
    <row r="18">
      <c r="B18" s="28" t="s">
        <v>14</v>
      </c>
      <c r="C18" s="16"/>
      <c r="D18" s="16"/>
      <c r="E18" s="16"/>
      <c r="F18" s="16"/>
      <c r="G18" s="17"/>
    </row>
    <row r="19">
      <c r="B19" s="28" t="s">
        <v>60</v>
      </c>
      <c r="C19" s="17"/>
      <c r="D19" s="30" t="s">
        <v>16</v>
      </c>
      <c r="E19" s="30" t="s">
        <v>17</v>
      </c>
      <c r="F19" s="30" t="s">
        <v>18</v>
      </c>
      <c r="G19" s="30" t="s">
        <v>19</v>
      </c>
    </row>
    <row r="20">
      <c r="B20" s="28" t="s">
        <v>1682</v>
      </c>
      <c r="C20" s="17"/>
      <c r="D20" s="181"/>
      <c r="E20" s="16"/>
      <c r="F20" s="16"/>
      <c r="G20" s="17"/>
    </row>
    <row r="21">
      <c r="B21" s="41" t="s">
        <v>1666</v>
      </c>
      <c r="C21" s="17"/>
      <c r="D21" s="72" t="s">
        <v>87</v>
      </c>
      <c r="E21" s="72" t="s">
        <v>78</v>
      </c>
      <c r="F21" s="72">
        <v>1.0</v>
      </c>
      <c r="G21" s="72"/>
    </row>
    <row r="22">
      <c r="B22" s="41" t="s">
        <v>1666</v>
      </c>
      <c r="C22" s="17"/>
      <c r="D22" s="223" t="s">
        <v>78</v>
      </c>
      <c r="E22" s="72" t="s">
        <v>78</v>
      </c>
      <c r="F22" s="72">
        <v>1.0</v>
      </c>
      <c r="G22" s="72"/>
    </row>
    <row r="23">
      <c r="B23" s="41" t="s">
        <v>1683</v>
      </c>
      <c r="C23" s="17"/>
      <c r="D23" s="72" t="s">
        <v>87</v>
      </c>
      <c r="E23" s="72" t="s">
        <v>1684</v>
      </c>
      <c r="F23" s="72">
        <v>1.0</v>
      </c>
      <c r="G23" s="72"/>
    </row>
    <row r="24">
      <c r="B24" s="41" t="s">
        <v>1683</v>
      </c>
      <c r="C24" s="17"/>
      <c r="D24" s="72" t="s">
        <v>87</v>
      </c>
      <c r="E24" s="72" t="s">
        <v>1685</v>
      </c>
      <c r="F24" s="72">
        <v>1.0</v>
      </c>
      <c r="G24" s="72"/>
    </row>
    <row r="25">
      <c r="B25" s="41"/>
      <c r="C25" s="17"/>
      <c r="D25" s="72"/>
      <c r="E25" s="72"/>
      <c r="F25" s="72">
        <f>SUM(F21:F24)</f>
        <v>4</v>
      </c>
      <c r="G25" s="72"/>
    </row>
  </sheetData>
  <mergeCells count="36">
    <mergeCell ref="B1:G1"/>
    <mergeCell ref="I1:N1"/>
    <mergeCell ref="B2:G2"/>
    <mergeCell ref="I2:N2"/>
    <mergeCell ref="B3:C3"/>
    <mergeCell ref="D4:G4"/>
    <mergeCell ref="K4:N4"/>
    <mergeCell ref="I10:J10"/>
    <mergeCell ref="K10:N10"/>
    <mergeCell ref="I11:K11"/>
    <mergeCell ref="I3:J3"/>
    <mergeCell ref="I4:J4"/>
    <mergeCell ref="I5:J5"/>
    <mergeCell ref="I6:J6"/>
    <mergeCell ref="I7:J7"/>
    <mergeCell ref="I8:J8"/>
    <mergeCell ref="I9:J9"/>
    <mergeCell ref="B4:C4"/>
    <mergeCell ref="B5:C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1:C11"/>
    <mergeCell ref="B12:C12"/>
    <mergeCell ref="B17:G17"/>
    <mergeCell ref="B18:G18"/>
    <mergeCell ref="B19:C19"/>
    <mergeCell ref="B20:C20"/>
    <mergeCell ref="D20:G20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0"/>
    <col customWidth="1" min="7" max="7" width="15.71"/>
  </cols>
  <sheetData>
    <row r="2">
      <c r="B2" s="28" t="s">
        <v>58</v>
      </c>
      <c r="C2" s="16"/>
      <c r="D2" s="16"/>
      <c r="E2" s="16"/>
      <c r="F2" s="16"/>
      <c r="G2" s="17"/>
      <c r="I2" s="28" t="s">
        <v>58</v>
      </c>
      <c r="J2" s="16"/>
      <c r="K2" s="16"/>
      <c r="L2" s="16"/>
      <c r="M2" s="16"/>
      <c r="N2" s="17"/>
    </row>
    <row r="3">
      <c r="B3" s="28" t="s">
        <v>14</v>
      </c>
      <c r="C3" s="16"/>
      <c r="D3" s="16"/>
      <c r="E3" s="16"/>
      <c r="F3" s="16"/>
      <c r="G3" s="17"/>
      <c r="I3" s="28" t="s">
        <v>14</v>
      </c>
      <c r="J3" s="16"/>
      <c r="K3" s="16"/>
      <c r="L3" s="16"/>
      <c r="M3" s="16"/>
      <c r="N3" s="17"/>
    </row>
    <row r="4">
      <c r="B4" s="57" t="s">
        <v>60</v>
      </c>
      <c r="C4" s="17"/>
      <c r="D4" s="58" t="s">
        <v>16</v>
      </c>
      <c r="E4" s="58" t="s">
        <v>17</v>
      </c>
      <c r="F4" s="58" t="s">
        <v>18</v>
      </c>
      <c r="G4" s="58" t="s">
        <v>19</v>
      </c>
      <c r="I4" s="57" t="s">
        <v>60</v>
      </c>
      <c r="J4" s="17"/>
      <c r="K4" s="58" t="s">
        <v>16</v>
      </c>
      <c r="L4" s="58" t="s">
        <v>17</v>
      </c>
      <c r="M4" s="58" t="s">
        <v>18</v>
      </c>
      <c r="N4" s="58" t="s">
        <v>19</v>
      </c>
    </row>
    <row r="5">
      <c r="B5" s="28" t="s">
        <v>1686</v>
      </c>
      <c r="C5" s="17"/>
      <c r="D5" s="28" t="s">
        <v>622</v>
      </c>
      <c r="E5" s="16"/>
      <c r="F5" s="16"/>
      <c r="G5" s="17"/>
      <c r="I5" s="28" t="s">
        <v>1686</v>
      </c>
      <c r="J5" s="17"/>
      <c r="K5" s="28" t="s">
        <v>875</v>
      </c>
      <c r="L5" s="16"/>
      <c r="M5" s="16"/>
      <c r="N5" s="17"/>
    </row>
    <row r="6">
      <c r="B6" s="231" t="s">
        <v>552</v>
      </c>
      <c r="C6" s="17"/>
      <c r="D6" s="232" t="s">
        <v>168</v>
      </c>
      <c r="E6" s="232" t="s">
        <v>1687</v>
      </c>
      <c r="F6" s="232">
        <v>1.0</v>
      </c>
      <c r="G6" s="232"/>
      <c r="I6" s="53" t="s">
        <v>1688</v>
      </c>
      <c r="J6" s="17"/>
      <c r="K6" s="52" t="s">
        <v>78</v>
      </c>
      <c r="L6" s="52" t="s">
        <v>78</v>
      </c>
      <c r="M6" s="52">
        <v>1.0</v>
      </c>
      <c r="N6" s="52"/>
    </row>
    <row r="7">
      <c r="B7" s="231" t="s">
        <v>1689</v>
      </c>
      <c r="C7" s="17"/>
      <c r="D7" s="232" t="s">
        <v>78</v>
      </c>
      <c r="E7" s="232" t="s">
        <v>78</v>
      </c>
      <c r="F7" s="232">
        <v>0.0</v>
      </c>
      <c r="G7" s="232"/>
      <c r="I7" s="53" t="s">
        <v>1690</v>
      </c>
      <c r="J7" s="17"/>
      <c r="K7" s="52" t="s">
        <v>78</v>
      </c>
      <c r="L7" s="52" t="s">
        <v>78</v>
      </c>
      <c r="M7" s="52">
        <v>1.0</v>
      </c>
      <c r="N7" s="52"/>
    </row>
    <row r="8">
      <c r="B8" s="231" t="s">
        <v>552</v>
      </c>
      <c r="C8" s="17"/>
      <c r="D8" s="232" t="s">
        <v>78</v>
      </c>
      <c r="E8" s="232" t="s">
        <v>78</v>
      </c>
      <c r="F8" s="232">
        <v>1.0</v>
      </c>
      <c r="G8" s="232"/>
      <c r="I8" s="41" t="s">
        <v>1691</v>
      </c>
      <c r="J8" s="17"/>
      <c r="K8" s="42" t="s">
        <v>78</v>
      </c>
      <c r="L8" s="42" t="s">
        <v>78</v>
      </c>
      <c r="M8" s="42"/>
      <c r="N8" s="42" t="s">
        <v>1692</v>
      </c>
    </row>
    <row r="9">
      <c r="B9" s="231" t="s">
        <v>1693</v>
      </c>
      <c r="C9" s="17"/>
      <c r="D9" s="232" t="s">
        <v>78</v>
      </c>
      <c r="E9" s="232" t="s">
        <v>78</v>
      </c>
      <c r="F9" s="232">
        <v>2.0</v>
      </c>
      <c r="G9" s="232"/>
      <c r="I9" s="42"/>
      <c r="J9" s="42"/>
      <c r="K9" s="42"/>
      <c r="L9" s="42"/>
      <c r="M9" s="42"/>
      <c r="N9" s="42"/>
    </row>
    <row r="10">
      <c r="B10" s="231" t="s">
        <v>572</v>
      </c>
      <c r="C10" s="17"/>
      <c r="D10" s="232" t="s">
        <v>84</v>
      </c>
      <c r="E10" s="232" t="s">
        <v>78</v>
      </c>
      <c r="F10" s="232">
        <v>1.0</v>
      </c>
      <c r="G10" s="232"/>
      <c r="I10" s="42"/>
      <c r="J10" s="42"/>
      <c r="K10" s="42"/>
      <c r="L10" s="42"/>
      <c r="M10" s="42"/>
      <c r="N10" s="42"/>
    </row>
    <row r="11">
      <c r="B11" s="231" t="s">
        <v>1694</v>
      </c>
      <c r="C11" s="17"/>
      <c r="D11" s="232" t="s">
        <v>78</v>
      </c>
      <c r="E11" s="232" t="s">
        <v>78</v>
      </c>
      <c r="F11" s="232">
        <v>1.0</v>
      </c>
      <c r="G11" s="232"/>
      <c r="I11" s="41" t="s">
        <v>1695</v>
      </c>
      <c r="J11" s="17"/>
      <c r="K11" s="42" t="s">
        <v>78</v>
      </c>
      <c r="L11" s="42" t="s">
        <v>78</v>
      </c>
      <c r="M11" s="42"/>
      <c r="N11" s="42" t="s">
        <v>1692</v>
      </c>
    </row>
    <row r="12">
      <c r="B12" s="231" t="s">
        <v>1696</v>
      </c>
      <c r="C12" s="17"/>
      <c r="D12" s="232" t="s">
        <v>78</v>
      </c>
      <c r="E12" s="232" t="s">
        <v>78</v>
      </c>
      <c r="F12" s="232">
        <v>0.0</v>
      </c>
      <c r="G12" s="232"/>
      <c r="I12" s="53" t="s">
        <v>1697</v>
      </c>
      <c r="J12" s="17"/>
      <c r="K12" s="52" t="s">
        <v>78</v>
      </c>
      <c r="L12" s="52" t="s">
        <v>78</v>
      </c>
      <c r="M12" s="52">
        <v>1.0</v>
      </c>
      <c r="N12" s="52"/>
    </row>
    <row r="13">
      <c r="B13" s="217" t="s">
        <v>38</v>
      </c>
      <c r="C13" s="17"/>
      <c r="D13" s="229"/>
      <c r="E13" s="229"/>
      <c r="F13" s="229">
        <f>SUM(F6:F12)</f>
        <v>6</v>
      </c>
      <c r="G13" s="229"/>
      <c r="I13" s="53" t="s">
        <v>1698</v>
      </c>
      <c r="J13" s="17"/>
      <c r="K13" s="52" t="s">
        <v>78</v>
      </c>
      <c r="L13" s="52" t="s">
        <v>78</v>
      </c>
      <c r="M13" s="182">
        <v>1.0</v>
      </c>
      <c r="N13" s="182"/>
    </row>
    <row r="14">
      <c r="I14" s="52" t="s">
        <v>214</v>
      </c>
      <c r="J14" s="52"/>
      <c r="K14" s="52" t="s">
        <v>78</v>
      </c>
      <c r="L14" s="52" t="s">
        <v>1699</v>
      </c>
      <c r="M14" s="182">
        <v>1.0</v>
      </c>
      <c r="N14" s="182"/>
    </row>
    <row r="15">
      <c r="I15" s="53" t="s">
        <v>1700</v>
      </c>
      <c r="J15" s="17"/>
      <c r="K15" s="52" t="s">
        <v>78</v>
      </c>
      <c r="L15" s="52" t="s">
        <v>78</v>
      </c>
      <c r="M15" s="182">
        <v>1.0</v>
      </c>
      <c r="N15" s="182"/>
    </row>
    <row r="16">
      <c r="B16" s="18" t="s">
        <v>58</v>
      </c>
      <c r="C16" s="16"/>
      <c r="D16" s="16"/>
      <c r="E16" s="16"/>
      <c r="F16" s="16"/>
      <c r="G16" s="17"/>
      <c r="I16" s="41" t="s">
        <v>38</v>
      </c>
      <c r="J16" s="17"/>
      <c r="K16" s="72"/>
      <c r="L16" s="72"/>
      <c r="M16" s="72">
        <f>SUM(M6:M15)</f>
        <v>6</v>
      </c>
      <c r="N16" s="72"/>
    </row>
    <row r="17">
      <c r="B17" s="18" t="s">
        <v>14</v>
      </c>
      <c r="C17" s="16"/>
      <c r="D17" s="16"/>
      <c r="E17" s="16"/>
      <c r="F17" s="16"/>
      <c r="G17" s="17"/>
    </row>
    <row r="18">
      <c r="B18" s="37" t="s">
        <v>60</v>
      </c>
      <c r="C18" s="17"/>
      <c r="D18" s="38" t="s">
        <v>16</v>
      </c>
      <c r="E18" s="38" t="s">
        <v>17</v>
      </c>
      <c r="F18" s="38" t="s">
        <v>18</v>
      </c>
      <c r="G18" s="38" t="s">
        <v>19</v>
      </c>
    </row>
    <row r="19">
      <c r="B19" s="32"/>
      <c r="C19" s="17"/>
      <c r="D19" s="18"/>
      <c r="E19" s="16"/>
      <c r="F19" s="16"/>
      <c r="G19" s="17"/>
      <c r="J19" s="187" t="s">
        <v>1701</v>
      </c>
    </row>
    <row r="20">
      <c r="B20" s="39" t="s">
        <v>1702</v>
      </c>
      <c r="C20" s="17"/>
      <c r="D20" s="40" t="s">
        <v>1703</v>
      </c>
      <c r="E20" s="40" t="s">
        <v>1704</v>
      </c>
      <c r="F20" s="40">
        <v>1.0</v>
      </c>
      <c r="G20" s="40"/>
    </row>
    <row r="21">
      <c r="B21" s="32" t="s">
        <v>38</v>
      </c>
      <c r="C21" s="17"/>
      <c r="D21" s="40"/>
      <c r="E21" s="40"/>
      <c r="F21" s="40">
        <f>SUM(F20)</f>
        <v>1</v>
      </c>
      <c r="G21" s="40"/>
    </row>
    <row r="23">
      <c r="B23" s="28" t="s">
        <v>58</v>
      </c>
      <c r="C23" s="16"/>
      <c r="D23" s="16"/>
      <c r="E23" s="16"/>
      <c r="F23" s="16"/>
      <c r="G23" s="17"/>
    </row>
    <row r="24">
      <c r="B24" s="28" t="s">
        <v>14</v>
      </c>
      <c r="C24" s="16"/>
      <c r="D24" s="16"/>
      <c r="E24" s="16"/>
      <c r="F24" s="16"/>
      <c r="G24" s="17"/>
    </row>
    <row r="25">
      <c r="B25" s="57" t="s">
        <v>60</v>
      </c>
      <c r="C25" s="17"/>
      <c r="D25" s="58" t="s">
        <v>16</v>
      </c>
      <c r="E25" s="58" t="s">
        <v>17</v>
      </c>
      <c r="F25" s="58" t="s">
        <v>18</v>
      </c>
      <c r="G25" s="58" t="s">
        <v>19</v>
      </c>
    </row>
    <row r="26">
      <c r="B26" s="28" t="s">
        <v>1686</v>
      </c>
      <c r="C26" s="17"/>
      <c r="D26" s="28" t="s">
        <v>1705</v>
      </c>
      <c r="E26" s="16"/>
      <c r="F26" s="16"/>
      <c r="G26" s="17"/>
    </row>
    <row r="27">
      <c r="B27" s="231" t="s">
        <v>1706</v>
      </c>
      <c r="C27" s="17"/>
      <c r="D27" s="232" t="s">
        <v>87</v>
      </c>
      <c r="E27" s="232" t="s">
        <v>1707</v>
      </c>
      <c r="F27" s="232">
        <v>1.0</v>
      </c>
      <c r="G27" s="232"/>
    </row>
    <row r="28">
      <c r="B28" s="231" t="s">
        <v>1187</v>
      </c>
      <c r="C28" s="17"/>
      <c r="D28" s="232" t="s">
        <v>78</v>
      </c>
      <c r="E28" s="232" t="s">
        <v>78</v>
      </c>
      <c r="F28" s="232">
        <v>1.0</v>
      </c>
      <c r="G28" s="232"/>
    </row>
    <row r="29">
      <c r="B29" s="232" t="s">
        <v>1708</v>
      </c>
      <c r="C29" s="232"/>
      <c r="D29" s="232" t="s">
        <v>78</v>
      </c>
      <c r="E29" s="232" t="s">
        <v>78</v>
      </c>
      <c r="F29" s="232">
        <v>1.0</v>
      </c>
      <c r="G29" s="232"/>
    </row>
    <row r="30">
      <c r="B30" s="231" t="s">
        <v>1706</v>
      </c>
      <c r="C30" s="17"/>
      <c r="D30" s="232" t="s">
        <v>78</v>
      </c>
      <c r="E30" s="232" t="s">
        <v>78</v>
      </c>
      <c r="F30" s="232">
        <v>1.0</v>
      </c>
      <c r="G30" s="232"/>
    </row>
    <row r="31">
      <c r="B31" s="231" t="s">
        <v>1693</v>
      </c>
      <c r="C31" s="17"/>
      <c r="D31" s="232" t="s">
        <v>87</v>
      </c>
      <c r="E31" s="232" t="s">
        <v>1709</v>
      </c>
      <c r="F31" s="232">
        <v>1.0</v>
      </c>
      <c r="G31" s="232"/>
    </row>
    <row r="32">
      <c r="B32" s="231" t="s">
        <v>1710</v>
      </c>
      <c r="C32" s="17"/>
      <c r="D32" s="232" t="s">
        <v>78</v>
      </c>
      <c r="E32" s="232" t="s">
        <v>78</v>
      </c>
      <c r="F32" s="232">
        <v>2.0</v>
      </c>
      <c r="G32" s="232"/>
    </row>
    <row r="33">
      <c r="B33" s="231" t="s">
        <v>157</v>
      </c>
      <c r="C33" s="17"/>
      <c r="D33" s="232" t="s">
        <v>78</v>
      </c>
      <c r="E33" s="232" t="s">
        <v>78</v>
      </c>
      <c r="F33" s="232">
        <v>1.0</v>
      </c>
      <c r="G33" s="232"/>
    </row>
    <row r="34">
      <c r="B34" s="231" t="s">
        <v>1711</v>
      </c>
      <c r="C34" s="17"/>
      <c r="D34" s="232" t="s">
        <v>1712</v>
      </c>
      <c r="E34" s="232" t="s">
        <v>1713</v>
      </c>
      <c r="F34" s="232">
        <v>1.0</v>
      </c>
      <c r="G34" s="232"/>
    </row>
    <row r="35">
      <c r="B35" s="231" t="s">
        <v>1714</v>
      </c>
      <c r="C35" s="17"/>
      <c r="D35" s="232" t="s">
        <v>234</v>
      </c>
      <c r="E35" s="232" t="s">
        <v>78</v>
      </c>
      <c r="F35" s="232">
        <v>1.0</v>
      </c>
      <c r="G35" s="232"/>
    </row>
    <row r="36">
      <c r="B36" s="232" t="s">
        <v>1715</v>
      </c>
      <c r="C36" s="232"/>
      <c r="D36" s="232" t="s">
        <v>78</v>
      </c>
      <c r="E36" s="232" t="s">
        <v>78</v>
      </c>
      <c r="F36" s="232">
        <v>1.0</v>
      </c>
      <c r="G36" s="232"/>
    </row>
    <row r="37">
      <c r="B37" s="231" t="s">
        <v>1716</v>
      </c>
      <c r="C37" s="17"/>
      <c r="D37" s="232" t="s">
        <v>78</v>
      </c>
      <c r="E37" s="232" t="s">
        <v>497</v>
      </c>
      <c r="F37" s="232">
        <v>1.0</v>
      </c>
      <c r="G37" s="232"/>
    </row>
    <row r="38">
      <c r="B38" s="231" t="s">
        <v>204</v>
      </c>
      <c r="C38" s="17"/>
      <c r="D38" s="232" t="s">
        <v>84</v>
      </c>
      <c r="E38" s="232" t="s">
        <v>78</v>
      </c>
      <c r="F38" s="232">
        <v>1.0</v>
      </c>
      <c r="G38" s="232"/>
    </row>
    <row r="39">
      <c r="B39" s="217" t="s">
        <v>38</v>
      </c>
      <c r="C39" s="17"/>
      <c r="D39" s="229"/>
      <c r="E39" s="229"/>
      <c r="F39" s="229">
        <f>SUM(F27:F38)</f>
        <v>13</v>
      </c>
      <c r="G39" s="229"/>
    </row>
  </sheetData>
  <mergeCells count="49">
    <mergeCell ref="B2:G2"/>
    <mergeCell ref="I2:N2"/>
    <mergeCell ref="B3:G3"/>
    <mergeCell ref="I3:N3"/>
    <mergeCell ref="B4:C4"/>
    <mergeCell ref="D5:G5"/>
    <mergeCell ref="K5:N5"/>
    <mergeCell ref="B5:C5"/>
    <mergeCell ref="B6:C6"/>
    <mergeCell ref="B7:C7"/>
    <mergeCell ref="B8:C8"/>
    <mergeCell ref="B9:C9"/>
    <mergeCell ref="B10:C10"/>
    <mergeCell ref="B11:C11"/>
    <mergeCell ref="I13:J13"/>
    <mergeCell ref="I15:J15"/>
    <mergeCell ref="I16:J16"/>
    <mergeCell ref="I4:J4"/>
    <mergeCell ref="I5:J5"/>
    <mergeCell ref="I6:J6"/>
    <mergeCell ref="I7:J7"/>
    <mergeCell ref="I8:J8"/>
    <mergeCell ref="I11:J11"/>
    <mergeCell ref="I12:J12"/>
    <mergeCell ref="B12:C12"/>
    <mergeCell ref="B13:C13"/>
    <mergeCell ref="B16:G16"/>
    <mergeCell ref="B17:G17"/>
    <mergeCell ref="B18:C18"/>
    <mergeCell ref="B19:C19"/>
    <mergeCell ref="D19:G19"/>
    <mergeCell ref="B20:C20"/>
    <mergeCell ref="B21:C21"/>
    <mergeCell ref="B23:G23"/>
    <mergeCell ref="B24:G24"/>
    <mergeCell ref="B25:C25"/>
    <mergeCell ref="B26:C26"/>
    <mergeCell ref="D26:G26"/>
    <mergeCell ref="B35:C35"/>
    <mergeCell ref="B37:C37"/>
    <mergeCell ref="B38:C38"/>
    <mergeCell ref="B39:C39"/>
    <mergeCell ref="B27:C27"/>
    <mergeCell ref="B28:C28"/>
    <mergeCell ref="B30:C30"/>
    <mergeCell ref="B31:C31"/>
    <mergeCell ref="B32:C32"/>
    <mergeCell ref="B33:C33"/>
    <mergeCell ref="B34:C34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18.43"/>
    <col customWidth="1" min="14" max="14" width="24.29"/>
  </cols>
  <sheetData>
    <row r="1">
      <c r="B1" s="28" t="s">
        <v>58</v>
      </c>
      <c r="C1" s="16"/>
      <c r="D1" s="16"/>
      <c r="E1" s="16"/>
      <c r="F1" s="16"/>
      <c r="G1" s="17"/>
      <c r="I1" s="18" t="s">
        <v>58</v>
      </c>
      <c r="J1" s="16"/>
      <c r="K1" s="16"/>
      <c r="L1" s="16"/>
      <c r="M1" s="16"/>
      <c r="N1" s="17"/>
    </row>
    <row r="2">
      <c r="B2" s="28" t="s">
        <v>14</v>
      </c>
      <c r="C2" s="16"/>
      <c r="D2" s="16"/>
      <c r="E2" s="16"/>
      <c r="F2" s="16"/>
      <c r="G2" s="17"/>
      <c r="I2" s="18" t="s">
        <v>14</v>
      </c>
      <c r="J2" s="16"/>
      <c r="K2" s="16"/>
      <c r="L2" s="16"/>
      <c r="M2" s="16"/>
      <c r="N2" s="17"/>
    </row>
    <row r="3">
      <c r="B3" s="28" t="s">
        <v>60</v>
      </c>
      <c r="C3" s="17"/>
      <c r="D3" s="30" t="s">
        <v>16</v>
      </c>
      <c r="E3" s="30" t="s">
        <v>17</v>
      </c>
      <c r="F3" s="30" t="s">
        <v>18</v>
      </c>
      <c r="G3" s="30" t="s">
        <v>19</v>
      </c>
      <c r="I3" s="28" t="s">
        <v>60</v>
      </c>
      <c r="J3" s="17"/>
      <c r="K3" s="30" t="s">
        <v>16</v>
      </c>
      <c r="L3" s="30" t="s">
        <v>17</v>
      </c>
      <c r="M3" s="30" t="s">
        <v>18</v>
      </c>
      <c r="N3" s="30" t="s">
        <v>19</v>
      </c>
    </row>
    <row r="4">
      <c r="B4" s="163" t="s">
        <v>1717</v>
      </c>
      <c r="C4" s="17"/>
      <c r="D4" s="203" t="s">
        <v>1126</v>
      </c>
      <c r="E4" s="16"/>
      <c r="F4" s="16"/>
      <c r="G4" s="17"/>
      <c r="I4" s="28" t="s">
        <v>1718</v>
      </c>
      <c r="J4" s="17"/>
      <c r="K4" s="73" t="s">
        <v>1719</v>
      </c>
      <c r="L4" s="16"/>
      <c r="M4" s="16"/>
      <c r="N4" s="17"/>
    </row>
    <row r="5">
      <c r="B5" s="73" t="s">
        <v>1720</v>
      </c>
      <c r="C5" s="17"/>
      <c r="D5" s="229" t="s">
        <v>78</v>
      </c>
      <c r="E5" s="281" t="s">
        <v>78</v>
      </c>
      <c r="F5" s="229">
        <v>2.0</v>
      </c>
      <c r="G5" s="229"/>
      <c r="I5" s="263" t="s">
        <v>1721</v>
      </c>
      <c r="J5" s="17"/>
      <c r="K5" s="271" t="s">
        <v>78</v>
      </c>
      <c r="L5" s="272" t="s">
        <v>78</v>
      </c>
      <c r="M5" s="271">
        <v>0.0</v>
      </c>
      <c r="N5" s="271" t="s">
        <v>1722</v>
      </c>
    </row>
    <row r="6">
      <c r="B6" s="41" t="s">
        <v>1723</v>
      </c>
      <c r="C6" s="17"/>
      <c r="D6" s="282" t="s">
        <v>78</v>
      </c>
      <c r="E6" s="229" t="s">
        <v>78</v>
      </c>
      <c r="F6" s="229">
        <v>2.0</v>
      </c>
      <c r="G6" s="229"/>
      <c r="I6" s="263" t="s">
        <v>1724</v>
      </c>
      <c r="J6" s="17"/>
      <c r="K6" s="271" t="s">
        <v>78</v>
      </c>
      <c r="L6" s="271" t="s">
        <v>1725</v>
      </c>
      <c r="M6" s="271">
        <v>0.0</v>
      </c>
      <c r="N6" s="271" t="s">
        <v>212</v>
      </c>
    </row>
    <row r="7">
      <c r="B7" s="41" t="s">
        <v>1726</v>
      </c>
      <c r="C7" s="17"/>
      <c r="D7" s="229" t="s">
        <v>78</v>
      </c>
      <c r="E7" s="281" t="s">
        <v>78</v>
      </c>
      <c r="F7" s="229">
        <v>1.0</v>
      </c>
      <c r="G7" s="229"/>
      <c r="I7" s="32" t="s">
        <v>38</v>
      </c>
      <c r="J7" s="17"/>
      <c r="K7" s="283"/>
      <c r="L7" s="16"/>
      <c r="M7" s="16"/>
      <c r="N7" s="17"/>
    </row>
    <row r="8">
      <c r="B8" s="41" t="s">
        <v>1727</v>
      </c>
      <c r="C8" s="17"/>
      <c r="D8" s="229" t="s">
        <v>78</v>
      </c>
      <c r="E8" s="281" t="s">
        <v>78</v>
      </c>
      <c r="F8" s="229">
        <v>1.0</v>
      </c>
      <c r="G8" s="229"/>
    </row>
    <row r="9">
      <c r="B9" s="41" t="s">
        <v>1728</v>
      </c>
      <c r="C9" s="17"/>
      <c r="D9" s="229" t="s">
        <v>1729</v>
      </c>
      <c r="E9" s="229" t="s">
        <v>78</v>
      </c>
      <c r="F9" s="229">
        <v>1.0</v>
      </c>
      <c r="G9" s="229"/>
    </row>
    <row r="10">
      <c r="B10" s="41" t="s">
        <v>337</v>
      </c>
      <c r="C10" s="17"/>
      <c r="D10" s="229" t="s">
        <v>78</v>
      </c>
      <c r="E10" s="229" t="s">
        <v>1730</v>
      </c>
      <c r="F10" s="229">
        <v>1.0</v>
      </c>
      <c r="G10" s="229"/>
    </row>
    <row r="11">
      <c r="B11" s="41" t="s">
        <v>1731</v>
      </c>
      <c r="C11" s="17"/>
      <c r="D11" s="229" t="s">
        <v>78</v>
      </c>
      <c r="E11" s="229" t="s">
        <v>1732</v>
      </c>
      <c r="F11" s="229">
        <v>1.0</v>
      </c>
      <c r="G11" s="229"/>
    </row>
    <row r="12">
      <c r="B12" s="41" t="s">
        <v>1733</v>
      </c>
      <c r="C12" s="17"/>
      <c r="D12" s="229" t="s">
        <v>1734</v>
      </c>
      <c r="E12" s="229" t="s">
        <v>1735</v>
      </c>
      <c r="F12" s="229">
        <v>1.0</v>
      </c>
      <c r="G12" s="229"/>
    </row>
    <row r="13">
      <c r="B13" s="41" t="s">
        <v>1736</v>
      </c>
      <c r="C13" s="17"/>
      <c r="D13" s="229" t="s">
        <v>1734</v>
      </c>
      <c r="E13" s="229" t="s">
        <v>1737</v>
      </c>
      <c r="F13" s="229">
        <v>1.0</v>
      </c>
      <c r="G13" s="229"/>
    </row>
    <row r="14">
      <c r="B14" s="41" t="s">
        <v>337</v>
      </c>
      <c r="C14" s="17"/>
      <c r="D14" s="229" t="s">
        <v>751</v>
      </c>
      <c r="E14" s="229" t="s">
        <v>1738</v>
      </c>
      <c r="F14" s="229">
        <v>1.0</v>
      </c>
      <c r="G14" s="229"/>
    </row>
    <row r="15">
      <c r="B15" s="41" t="s">
        <v>1739</v>
      </c>
      <c r="C15" s="17"/>
      <c r="D15" s="232" t="s">
        <v>78</v>
      </c>
      <c r="E15" s="284" t="s">
        <v>78</v>
      </c>
      <c r="F15" s="232">
        <v>1.0</v>
      </c>
      <c r="G15" s="285"/>
    </row>
    <row r="16">
      <c r="B16" s="73" t="s">
        <v>1740</v>
      </c>
      <c r="C16" s="17"/>
      <c r="D16" s="229" t="s">
        <v>749</v>
      </c>
      <c r="E16" s="281" t="s">
        <v>1741</v>
      </c>
      <c r="F16" s="229">
        <v>1.0</v>
      </c>
      <c r="G16" s="229"/>
    </row>
    <row r="17">
      <c r="B17" s="73" t="s">
        <v>1740</v>
      </c>
      <c r="C17" s="17"/>
      <c r="D17" s="229" t="s">
        <v>319</v>
      </c>
      <c r="E17" s="281" t="s">
        <v>78</v>
      </c>
      <c r="F17" s="229">
        <v>1.0</v>
      </c>
      <c r="G17" s="229"/>
    </row>
    <row r="18">
      <c r="B18" s="73" t="s">
        <v>1742</v>
      </c>
      <c r="C18" s="17"/>
      <c r="D18" s="229" t="s">
        <v>1743</v>
      </c>
      <c r="E18" s="281" t="s">
        <v>78</v>
      </c>
      <c r="F18" s="229">
        <v>1.0</v>
      </c>
      <c r="G18" s="229"/>
    </row>
    <row r="19">
      <c r="B19" s="73" t="s">
        <v>1744</v>
      </c>
      <c r="C19" s="17"/>
      <c r="D19" s="229" t="s">
        <v>168</v>
      </c>
      <c r="E19" s="281" t="s">
        <v>1745</v>
      </c>
      <c r="F19" s="229">
        <v>1.0</v>
      </c>
      <c r="G19" s="229"/>
    </row>
    <row r="20">
      <c r="B20" s="73" t="s">
        <v>1746</v>
      </c>
      <c r="C20" s="17"/>
      <c r="D20" s="229" t="s">
        <v>78</v>
      </c>
      <c r="E20" s="281" t="s">
        <v>78</v>
      </c>
      <c r="F20" s="229">
        <v>1.0</v>
      </c>
      <c r="G20" s="229"/>
    </row>
    <row r="21">
      <c r="B21" s="73" t="s">
        <v>1742</v>
      </c>
      <c r="C21" s="17"/>
      <c r="D21" s="229" t="s">
        <v>1734</v>
      </c>
      <c r="E21" s="281" t="s">
        <v>1735</v>
      </c>
      <c r="F21" s="229">
        <v>1.0</v>
      </c>
      <c r="G21" s="229"/>
    </row>
    <row r="22">
      <c r="B22" s="41" t="s">
        <v>1731</v>
      </c>
      <c r="C22" s="17"/>
      <c r="D22" s="229" t="s">
        <v>197</v>
      </c>
      <c r="E22" s="281" t="s">
        <v>1747</v>
      </c>
      <c r="F22" s="229">
        <v>1.0</v>
      </c>
      <c r="G22" s="229"/>
    </row>
    <row r="23">
      <c r="B23" s="73" t="s">
        <v>1742</v>
      </c>
      <c r="C23" s="17"/>
      <c r="D23" s="229" t="s">
        <v>78</v>
      </c>
      <c r="E23" s="281" t="s">
        <v>78</v>
      </c>
      <c r="F23" s="229">
        <v>1.0</v>
      </c>
      <c r="G23" s="229"/>
    </row>
    <row r="24">
      <c r="B24" s="73" t="s">
        <v>354</v>
      </c>
      <c r="C24" s="17"/>
      <c r="D24" s="229" t="s">
        <v>1748</v>
      </c>
      <c r="E24" s="281" t="s">
        <v>78</v>
      </c>
      <c r="F24" s="229">
        <v>1.0</v>
      </c>
      <c r="G24" s="229"/>
    </row>
    <row r="25">
      <c r="B25" s="73" t="s">
        <v>599</v>
      </c>
      <c r="C25" s="17"/>
      <c r="D25" s="229" t="s">
        <v>78</v>
      </c>
      <c r="E25" s="281" t="s">
        <v>78</v>
      </c>
      <c r="F25" s="229">
        <v>1.0</v>
      </c>
      <c r="G25" s="229"/>
    </row>
    <row r="26">
      <c r="B26" s="41" t="s">
        <v>1749</v>
      </c>
      <c r="C26" s="17"/>
      <c r="D26" s="229" t="s">
        <v>78</v>
      </c>
      <c r="E26" s="281" t="s">
        <v>78</v>
      </c>
      <c r="F26" s="229">
        <v>1.0</v>
      </c>
      <c r="G26" s="229"/>
    </row>
    <row r="27">
      <c r="B27" s="41" t="s">
        <v>352</v>
      </c>
      <c r="C27" s="17"/>
      <c r="D27" s="229" t="s">
        <v>751</v>
      </c>
      <c r="E27" s="281" t="s">
        <v>1750</v>
      </c>
      <c r="F27" s="229">
        <v>1.0</v>
      </c>
      <c r="G27" s="229"/>
    </row>
    <row r="28">
      <c r="B28" s="41" t="s">
        <v>1156</v>
      </c>
      <c r="C28" s="17"/>
      <c r="D28" s="282" t="s">
        <v>75</v>
      </c>
      <c r="E28" s="229" t="s">
        <v>1751</v>
      </c>
      <c r="F28" s="229">
        <v>1.0</v>
      </c>
      <c r="G28" s="229"/>
    </row>
    <row r="29">
      <c r="B29" s="41" t="s">
        <v>799</v>
      </c>
      <c r="C29" s="17"/>
      <c r="D29" s="229" t="s">
        <v>1752</v>
      </c>
      <c r="E29" s="281" t="s">
        <v>78</v>
      </c>
      <c r="F29" s="229">
        <v>1.0</v>
      </c>
      <c r="G29" s="229"/>
    </row>
    <row r="30">
      <c r="B30" s="41" t="s">
        <v>1753</v>
      </c>
      <c r="C30" s="17"/>
      <c r="D30" s="229" t="s">
        <v>1181</v>
      </c>
      <c r="E30" s="229" t="s">
        <v>1754</v>
      </c>
      <c r="F30" s="229">
        <v>1.0</v>
      </c>
      <c r="G30" s="229"/>
    </row>
    <row r="31">
      <c r="B31" s="41" t="s">
        <v>1755</v>
      </c>
      <c r="C31" s="17"/>
      <c r="D31" s="229" t="s">
        <v>78</v>
      </c>
      <c r="E31" s="229" t="s">
        <v>78</v>
      </c>
      <c r="F31" s="229">
        <v>1.0</v>
      </c>
      <c r="G31" s="229"/>
    </row>
    <row r="32">
      <c r="B32" s="41" t="s">
        <v>1756</v>
      </c>
      <c r="C32" s="17"/>
      <c r="D32" s="229" t="s">
        <v>78</v>
      </c>
      <c r="E32" s="229" t="s">
        <v>78</v>
      </c>
      <c r="F32" s="229">
        <v>1.0</v>
      </c>
      <c r="G32" s="229"/>
    </row>
    <row r="33">
      <c r="B33" s="41" t="s">
        <v>1757</v>
      </c>
      <c r="C33" s="17"/>
      <c r="D33" s="229" t="s">
        <v>78</v>
      </c>
      <c r="E33" s="229" t="s">
        <v>78</v>
      </c>
      <c r="F33" s="229">
        <v>1.0</v>
      </c>
      <c r="G33" s="229"/>
    </row>
    <row r="34">
      <c r="B34" s="41" t="s">
        <v>1758</v>
      </c>
      <c r="C34" s="17"/>
      <c r="D34" s="229" t="s">
        <v>78</v>
      </c>
      <c r="E34" s="229" t="s">
        <v>1759</v>
      </c>
      <c r="F34" s="229">
        <v>1.0</v>
      </c>
      <c r="G34" s="229"/>
    </row>
    <row r="35">
      <c r="B35" s="41" t="s">
        <v>1756</v>
      </c>
      <c r="C35" s="17"/>
      <c r="D35" s="229" t="s">
        <v>168</v>
      </c>
      <c r="E35" s="229" t="s">
        <v>78</v>
      </c>
      <c r="F35" s="229">
        <v>1.0</v>
      </c>
      <c r="G35" s="229"/>
    </row>
    <row r="36">
      <c r="B36" s="217" t="s">
        <v>1760</v>
      </c>
      <c r="C36" s="17"/>
      <c r="D36" s="229"/>
      <c r="E36" s="281"/>
      <c r="F36" s="229">
        <f>SUM(F5:F35)</f>
        <v>33</v>
      </c>
      <c r="G36" s="229"/>
    </row>
  </sheetData>
  <mergeCells count="46">
    <mergeCell ref="I3:J3"/>
    <mergeCell ref="I4:J4"/>
    <mergeCell ref="I5:J5"/>
    <mergeCell ref="I6:J6"/>
    <mergeCell ref="I7:J7"/>
    <mergeCell ref="K7:N7"/>
    <mergeCell ref="B1:G1"/>
    <mergeCell ref="I1:N1"/>
    <mergeCell ref="B2:G2"/>
    <mergeCell ref="I2:N2"/>
    <mergeCell ref="B3:C3"/>
    <mergeCell ref="D4:G4"/>
    <mergeCell ref="K4:N4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31:C3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29"/>
    <col customWidth="1" min="3" max="3" width="19.0"/>
    <col customWidth="1" min="7" max="7" width="16.86"/>
    <col customWidth="1" min="10" max="10" width="16.14"/>
    <col customWidth="1" min="11" max="11" width="18.86"/>
    <col customWidth="1" min="12" max="12" width="17.57"/>
    <col customWidth="1" min="14" max="14" width="17.14"/>
  </cols>
  <sheetData>
    <row r="2">
      <c r="B2" s="18" t="s">
        <v>58</v>
      </c>
      <c r="C2" s="16"/>
      <c r="D2" s="16"/>
      <c r="E2" s="16"/>
      <c r="F2" s="16"/>
      <c r="G2" s="17"/>
    </row>
    <row r="3">
      <c r="B3" s="18" t="s">
        <v>14</v>
      </c>
      <c r="C3" s="16"/>
      <c r="D3" s="16"/>
      <c r="E3" s="16"/>
      <c r="F3" s="16"/>
      <c r="G3" s="17"/>
    </row>
    <row r="4">
      <c r="B4" s="37" t="s">
        <v>60</v>
      </c>
      <c r="C4" s="17"/>
      <c r="D4" s="38" t="s">
        <v>16</v>
      </c>
      <c r="E4" s="38" t="s">
        <v>17</v>
      </c>
      <c r="F4" s="38" t="s">
        <v>18</v>
      </c>
      <c r="G4" s="38" t="s">
        <v>19</v>
      </c>
    </row>
    <row r="5">
      <c r="B5" s="32" t="s">
        <v>1761</v>
      </c>
      <c r="C5" s="17"/>
      <c r="D5" s="18" t="s">
        <v>638</v>
      </c>
      <c r="E5" s="16"/>
      <c r="F5" s="16"/>
      <c r="G5" s="17"/>
    </row>
    <row r="6">
      <c r="B6" s="39" t="s">
        <v>1762</v>
      </c>
      <c r="C6" s="17"/>
      <c r="D6" s="40" t="s">
        <v>1763</v>
      </c>
      <c r="E6" s="40">
        <v>7983.0</v>
      </c>
      <c r="F6" s="40">
        <v>1.0</v>
      </c>
      <c r="G6" s="40"/>
    </row>
    <row r="7">
      <c r="B7" s="39" t="s">
        <v>1764</v>
      </c>
      <c r="C7" s="17"/>
      <c r="D7" s="40" t="s">
        <v>1763</v>
      </c>
      <c r="E7" s="40">
        <v>7189.0</v>
      </c>
      <c r="F7" s="40">
        <v>1.0</v>
      </c>
      <c r="G7" s="40"/>
    </row>
    <row r="8">
      <c r="B8" s="39" t="s">
        <v>203</v>
      </c>
      <c r="C8" s="17"/>
      <c r="D8" s="40" t="s">
        <v>1763</v>
      </c>
      <c r="E8" s="40">
        <v>7189.0</v>
      </c>
      <c r="F8" s="40">
        <v>1.0</v>
      </c>
      <c r="G8" s="40"/>
    </row>
    <row r="9">
      <c r="B9" s="32" t="s">
        <v>38</v>
      </c>
      <c r="C9" s="17"/>
      <c r="D9" s="40"/>
      <c r="E9" s="40"/>
      <c r="F9" s="40">
        <f>SUM(F6:F8)</f>
        <v>3</v>
      </c>
      <c r="G9" s="40"/>
      <c r="I9" s="18" t="s">
        <v>58</v>
      </c>
      <c r="J9" s="16"/>
      <c r="K9" s="16"/>
      <c r="L9" s="16"/>
      <c r="M9" s="16"/>
      <c r="N9" s="17"/>
    </row>
    <row r="10">
      <c r="I10" s="18" t="s">
        <v>14</v>
      </c>
      <c r="J10" s="16"/>
      <c r="K10" s="16"/>
      <c r="L10" s="16"/>
      <c r="M10" s="16"/>
      <c r="N10" s="17"/>
    </row>
    <row r="11">
      <c r="B11" s="18" t="s">
        <v>58</v>
      </c>
      <c r="C11" s="16"/>
      <c r="D11" s="16"/>
      <c r="E11" s="16"/>
      <c r="F11" s="16"/>
      <c r="G11" s="17"/>
      <c r="I11" s="37" t="s">
        <v>60</v>
      </c>
      <c r="J11" s="17"/>
      <c r="K11" s="38" t="s">
        <v>16</v>
      </c>
      <c r="L11" s="38" t="s">
        <v>17</v>
      </c>
      <c r="M11" s="38" t="s">
        <v>18</v>
      </c>
      <c r="N11" s="38" t="s">
        <v>19</v>
      </c>
    </row>
    <row r="12">
      <c r="B12" s="18" t="s">
        <v>14</v>
      </c>
      <c r="C12" s="16"/>
      <c r="D12" s="16"/>
      <c r="E12" s="16"/>
      <c r="F12" s="16"/>
      <c r="G12" s="17"/>
      <c r="I12" s="32"/>
      <c r="J12" s="17"/>
      <c r="K12" s="18"/>
      <c r="L12" s="16"/>
      <c r="M12" s="16"/>
      <c r="N12" s="17"/>
    </row>
    <row r="13">
      <c r="B13" s="37" t="s">
        <v>60</v>
      </c>
      <c r="C13" s="17"/>
      <c r="D13" s="38" t="s">
        <v>16</v>
      </c>
      <c r="E13" s="38" t="s">
        <v>17</v>
      </c>
      <c r="F13" s="38" t="s">
        <v>18</v>
      </c>
      <c r="G13" s="38" t="s">
        <v>19</v>
      </c>
      <c r="I13" s="39" t="s">
        <v>480</v>
      </c>
      <c r="J13" s="17"/>
      <c r="K13" s="40" t="s">
        <v>197</v>
      </c>
      <c r="L13" s="40" t="s">
        <v>503</v>
      </c>
      <c r="M13" s="40">
        <v>1.0</v>
      </c>
      <c r="N13" s="40"/>
    </row>
    <row r="14">
      <c r="B14" s="32"/>
      <c r="C14" s="17"/>
      <c r="D14" s="18"/>
      <c r="E14" s="16"/>
      <c r="F14" s="16"/>
      <c r="G14" s="17"/>
      <c r="I14" s="32" t="s">
        <v>38</v>
      </c>
      <c r="J14" s="17"/>
      <c r="K14" s="40"/>
      <c r="L14" s="40"/>
      <c r="M14" s="40">
        <f>SUM(M13)</f>
        <v>1</v>
      </c>
      <c r="N14" s="40"/>
    </row>
    <row r="15">
      <c r="B15" s="39" t="s">
        <v>1765</v>
      </c>
      <c r="C15" s="17"/>
      <c r="D15" s="40" t="s">
        <v>87</v>
      </c>
      <c r="E15" s="40" t="s">
        <v>292</v>
      </c>
      <c r="F15" s="40">
        <v>1.0</v>
      </c>
      <c r="G15" s="40"/>
    </row>
    <row r="16">
      <c r="B16" s="32" t="s">
        <v>38</v>
      </c>
      <c r="C16" s="17"/>
      <c r="D16" s="40"/>
      <c r="E16" s="40"/>
      <c r="F16" s="40">
        <f>SUM(F15)</f>
        <v>1</v>
      </c>
      <c r="G16" s="40"/>
      <c r="I16" s="28" t="s">
        <v>58</v>
      </c>
      <c r="J16" s="16"/>
      <c r="K16" s="16"/>
      <c r="L16" s="16"/>
      <c r="M16" s="16"/>
      <c r="N16" s="17"/>
    </row>
    <row r="17">
      <c r="I17" s="28" t="s">
        <v>14</v>
      </c>
      <c r="J17" s="16"/>
      <c r="K17" s="16"/>
      <c r="L17" s="16"/>
      <c r="M17" s="16"/>
      <c r="N17" s="17"/>
    </row>
    <row r="18">
      <c r="B18" s="18" t="s">
        <v>58</v>
      </c>
      <c r="C18" s="16"/>
      <c r="D18" s="16"/>
      <c r="E18" s="16"/>
      <c r="F18" s="16"/>
      <c r="G18" s="17"/>
      <c r="I18" s="57" t="s">
        <v>60</v>
      </c>
      <c r="J18" s="17"/>
      <c r="K18" s="58" t="s">
        <v>16</v>
      </c>
      <c r="L18" s="58" t="s">
        <v>17</v>
      </c>
      <c r="M18" s="58" t="s">
        <v>18</v>
      </c>
      <c r="N18" s="58" t="s">
        <v>19</v>
      </c>
    </row>
    <row r="19">
      <c r="B19" s="18" t="s">
        <v>14</v>
      </c>
      <c r="C19" s="16"/>
      <c r="D19" s="16"/>
      <c r="E19" s="16"/>
      <c r="F19" s="16"/>
      <c r="G19" s="17"/>
      <c r="I19" s="32" t="s">
        <v>1766</v>
      </c>
      <c r="J19" s="17"/>
      <c r="K19" s="18" t="s">
        <v>638</v>
      </c>
      <c r="L19" s="16"/>
      <c r="M19" s="16"/>
      <c r="N19" s="17"/>
    </row>
    <row r="20">
      <c r="B20" s="37" t="s">
        <v>60</v>
      </c>
      <c r="C20" s="17"/>
      <c r="D20" s="38" t="s">
        <v>16</v>
      </c>
      <c r="E20" s="38" t="s">
        <v>17</v>
      </c>
      <c r="F20" s="38" t="s">
        <v>18</v>
      </c>
      <c r="G20" s="38" t="s">
        <v>19</v>
      </c>
      <c r="I20" s="39" t="s">
        <v>1767</v>
      </c>
      <c r="J20" s="17"/>
      <c r="K20" s="40" t="s">
        <v>868</v>
      </c>
      <c r="L20" s="40" t="s">
        <v>1768</v>
      </c>
      <c r="M20" s="40">
        <v>1.0</v>
      </c>
      <c r="N20" s="40"/>
    </row>
    <row r="21">
      <c r="B21" s="32" t="s">
        <v>1769</v>
      </c>
      <c r="C21" s="17"/>
      <c r="D21" s="18" t="s">
        <v>833</v>
      </c>
      <c r="E21" s="16"/>
      <c r="F21" s="16"/>
      <c r="G21" s="17"/>
      <c r="I21" s="39" t="s">
        <v>1770</v>
      </c>
      <c r="J21" s="17"/>
      <c r="K21" s="40" t="s">
        <v>1771</v>
      </c>
      <c r="L21" s="40" t="s">
        <v>78</v>
      </c>
      <c r="M21" s="40">
        <v>1.0</v>
      </c>
      <c r="N21" s="40"/>
    </row>
    <row r="22">
      <c r="B22" s="39" t="s">
        <v>1772</v>
      </c>
      <c r="C22" s="17"/>
      <c r="D22" s="40" t="s">
        <v>78</v>
      </c>
      <c r="E22" s="40" t="s">
        <v>78</v>
      </c>
      <c r="F22" s="40">
        <v>1.0</v>
      </c>
      <c r="G22" s="40"/>
      <c r="I22" s="39" t="s">
        <v>203</v>
      </c>
      <c r="J22" s="17"/>
      <c r="K22" s="40" t="s">
        <v>868</v>
      </c>
      <c r="L22" s="40" t="s">
        <v>1001</v>
      </c>
      <c r="M22" s="40">
        <v>1.0</v>
      </c>
      <c r="N22" s="40"/>
    </row>
    <row r="23">
      <c r="B23" s="39" t="s">
        <v>599</v>
      </c>
      <c r="C23" s="17"/>
      <c r="D23" s="40" t="s">
        <v>1773</v>
      </c>
      <c r="E23" s="40" t="s">
        <v>78</v>
      </c>
      <c r="F23" s="40">
        <f>SUM(F22)</f>
        <v>1</v>
      </c>
      <c r="G23" s="40"/>
      <c r="I23" s="39" t="s">
        <v>935</v>
      </c>
      <c r="J23" s="17"/>
      <c r="K23" s="40" t="s">
        <v>868</v>
      </c>
      <c r="L23" s="40" t="s">
        <v>996</v>
      </c>
      <c r="M23" s="40">
        <v>1.0</v>
      </c>
      <c r="N23" s="40"/>
    </row>
    <row r="24">
      <c r="B24" s="32" t="s">
        <v>38</v>
      </c>
      <c r="C24" s="17"/>
      <c r="D24" s="40"/>
      <c r="E24" s="40"/>
      <c r="F24" s="40">
        <f>SUM(F22:F23)</f>
        <v>2</v>
      </c>
      <c r="G24" s="40"/>
      <c r="I24" s="20" t="s">
        <v>38</v>
      </c>
      <c r="J24" s="17"/>
      <c r="K24" s="4"/>
      <c r="L24" s="4"/>
      <c r="M24" s="4">
        <f>SUM(M20:M23)</f>
        <v>4</v>
      </c>
      <c r="N24" s="4"/>
    </row>
    <row r="26">
      <c r="B26" s="28" t="s">
        <v>58</v>
      </c>
      <c r="C26" s="16"/>
      <c r="D26" s="16"/>
      <c r="E26" s="16"/>
      <c r="F26" s="16"/>
      <c r="G26" s="17"/>
      <c r="I26" s="28" t="s">
        <v>58</v>
      </c>
      <c r="J26" s="16"/>
      <c r="K26" s="16"/>
      <c r="L26" s="16"/>
      <c r="M26" s="16"/>
      <c r="N26" s="17"/>
    </row>
    <row r="27">
      <c r="B27" s="28" t="s">
        <v>14</v>
      </c>
      <c r="C27" s="16"/>
      <c r="D27" s="16"/>
      <c r="E27" s="16"/>
      <c r="F27" s="16"/>
      <c r="G27" s="17"/>
      <c r="I27" s="28" t="s">
        <v>14</v>
      </c>
      <c r="J27" s="16"/>
      <c r="K27" s="16"/>
      <c r="L27" s="16"/>
      <c r="M27" s="16"/>
      <c r="N27" s="17"/>
      <c r="P27" s="24" t="s">
        <v>225</v>
      </c>
    </row>
    <row r="28">
      <c r="B28" s="57" t="s">
        <v>60</v>
      </c>
      <c r="C28" s="17"/>
      <c r="D28" s="58" t="s">
        <v>16</v>
      </c>
      <c r="E28" s="58" t="s">
        <v>17</v>
      </c>
      <c r="F28" s="58" t="s">
        <v>18</v>
      </c>
      <c r="G28" s="58" t="s">
        <v>19</v>
      </c>
      <c r="I28" s="57" t="s">
        <v>1774</v>
      </c>
      <c r="J28" s="17"/>
      <c r="K28" s="58" t="s">
        <v>16</v>
      </c>
      <c r="L28" s="58" t="s">
        <v>17</v>
      </c>
      <c r="M28" s="58" t="s">
        <v>18</v>
      </c>
      <c r="N28" s="58" t="s">
        <v>19</v>
      </c>
    </row>
    <row r="29">
      <c r="B29" s="32" t="s">
        <v>1775</v>
      </c>
      <c r="C29" s="17"/>
      <c r="D29" s="18" t="s">
        <v>638</v>
      </c>
      <c r="E29" s="16"/>
      <c r="F29" s="16"/>
      <c r="G29" s="17"/>
      <c r="I29" s="32" t="s">
        <v>1776</v>
      </c>
      <c r="J29" s="17"/>
      <c r="K29" s="286" t="s">
        <v>234</v>
      </c>
      <c r="L29" s="286" t="s">
        <v>1777</v>
      </c>
      <c r="M29" s="287">
        <v>2.0</v>
      </c>
      <c r="N29" s="19"/>
    </row>
    <row r="30">
      <c r="B30" s="39" t="s">
        <v>1778</v>
      </c>
      <c r="C30" s="17"/>
      <c r="D30" s="40" t="s">
        <v>78</v>
      </c>
      <c r="E30" s="40" t="s">
        <v>78</v>
      </c>
      <c r="F30" s="40">
        <v>1.0</v>
      </c>
      <c r="G30" s="40"/>
      <c r="I30" s="32" t="s">
        <v>38</v>
      </c>
      <c r="J30" s="17"/>
      <c r="K30" s="40"/>
      <c r="L30" s="40"/>
      <c r="M30" s="40">
        <f>SUM(M29)</f>
        <v>2</v>
      </c>
      <c r="N30" s="40"/>
    </row>
    <row r="31">
      <c r="B31" s="39" t="s">
        <v>1779</v>
      </c>
      <c r="C31" s="17"/>
      <c r="D31" s="40" t="s">
        <v>197</v>
      </c>
      <c r="E31" s="40" t="s">
        <v>1780</v>
      </c>
      <c r="F31" s="40">
        <v>1.0</v>
      </c>
      <c r="G31" s="40"/>
    </row>
    <row r="32">
      <c r="B32" s="39" t="s">
        <v>1781</v>
      </c>
      <c r="C32" s="17"/>
      <c r="D32" s="40" t="s">
        <v>78</v>
      </c>
      <c r="E32" s="40" t="s">
        <v>78</v>
      </c>
      <c r="F32" s="40">
        <v>1.0</v>
      </c>
      <c r="G32" s="40"/>
    </row>
    <row r="33">
      <c r="B33" s="39" t="s">
        <v>199</v>
      </c>
      <c r="C33" s="17"/>
      <c r="D33" s="40" t="s">
        <v>1079</v>
      </c>
      <c r="E33" s="40" t="s">
        <v>78</v>
      </c>
      <c r="F33" s="40">
        <v>1.0</v>
      </c>
      <c r="G33" s="40"/>
      <c r="I33" s="28" t="s">
        <v>58</v>
      </c>
      <c r="J33" s="16"/>
      <c r="K33" s="16"/>
      <c r="L33" s="16"/>
      <c r="M33" s="16"/>
      <c r="N33" s="17"/>
    </row>
    <row r="34">
      <c r="B34" s="25" t="s">
        <v>1782</v>
      </c>
      <c r="C34" s="17"/>
      <c r="D34" s="4" t="s">
        <v>1783</v>
      </c>
      <c r="E34" s="4" t="s">
        <v>78</v>
      </c>
      <c r="F34" s="4">
        <v>1.0</v>
      </c>
      <c r="G34" s="4"/>
      <c r="I34" s="28" t="s">
        <v>14</v>
      </c>
      <c r="J34" s="16"/>
      <c r="K34" s="16"/>
      <c r="L34" s="16"/>
      <c r="M34" s="16"/>
      <c r="N34" s="17"/>
    </row>
    <row r="35">
      <c r="B35" s="25" t="s">
        <v>1784</v>
      </c>
      <c r="C35" s="17"/>
      <c r="D35" s="4" t="s">
        <v>78</v>
      </c>
      <c r="E35" s="4" t="s">
        <v>78</v>
      </c>
      <c r="F35" s="4">
        <v>0.0</v>
      </c>
      <c r="G35" s="4" t="s">
        <v>123</v>
      </c>
      <c r="I35" s="57" t="s">
        <v>60</v>
      </c>
      <c r="J35" s="17"/>
      <c r="K35" s="58" t="s">
        <v>16</v>
      </c>
      <c r="L35" s="58" t="s">
        <v>17</v>
      </c>
      <c r="M35" s="58" t="s">
        <v>18</v>
      </c>
      <c r="N35" s="58" t="s">
        <v>19</v>
      </c>
    </row>
    <row r="36">
      <c r="B36" s="25" t="s">
        <v>1785</v>
      </c>
      <c r="C36" s="17"/>
      <c r="D36" s="4" t="s">
        <v>78</v>
      </c>
      <c r="E36" s="4" t="s">
        <v>78</v>
      </c>
      <c r="F36" s="4">
        <v>1.0</v>
      </c>
      <c r="G36" s="4"/>
      <c r="I36" s="39" t="s">
        <v>1786</v>
      </c>
      <c r="J36" s="17"/>
      <c r="K36" s="45" t="s">
        <v>87</v>
      </c>
      <c r="L36" s="45" t="s">
        <v>1787</v>
      </c>
      <c r="M36" s="287">
        <v>1.0</v>
      </c>
      <c r="N36" s="19"/>
    </row>
    <row r="37">
      <c r="B37" s="20" t="s">
        <v>38</v>
      </c>
      <c r="C37" s="17"/>
      <c r="D37" s="4"/>
      <c r="E37" s="4"/>
      <c r="F37" s="4">
        <f>SUM(F30:F35)</f>
        <v>5</v>
      </c>
      <c r="G37" s="4"/>
      <c r="I37" s="32" t="s">
        <v>38</v>
      </c>
      <c r="J37" s="17"/>
      <c r="K37" s="40"/>
      <c r="L37" s="40"/>
      <c r="M37" s="40">
        <v>1.0</v>
      </c>
      <c r="N37" s="40"/>
    </row>
    <row r="40">
      <c r="B40" s="28" t="s">
        <v>58</v>
      </c>
      <c r="C40" s="16"/>
      <c r="D40" s="16"/>
      <c r="E40" s="16"/>
      <c r="F40" s="16"/>
      <c r="G40" s="17"/>
      <c r="I40" s="28" t="s">
        <v>58</v>
      </c>
      <c r="J40" s="16"/>
      <c r="K40" s="16"/>
      <c r="L40" s="16"/>
      <c r="M40" s="16"/>
      <c r="N40" s="17"/>
    </row>
    <row r="41">
      <c r="B41" s="28" t="s">
        <v>14</v>
      </c>
      <c r="C41" s="16"/>
      <c r="D41" s="16"/>
      <c r="E41" s="16"/>
      <c r="F41" s="16"/>
      <c r="G41" s="17"/>
      <c r="I41" s="28" t="s">
        <v>14</v>
      </c>
      <c r="J41" s="16"/>
      <c r="K41" s="16"/>
      <c r="L41" s="16"/>
      <c r="M41" s="16"/>
      <c r="N41" s="17"/>
    </row>
    <row r="42">
      <c r="B42" s="57" t="s">
        <v>60</v>
      </c>
      <c r="C42" s="17"/>
      <c r="D42" s="58" t="s">
        <v>16</v>
      </c>
      <c r="E42" s="58" t="s">
        <v>17</v>
      </c>
      <c r="F42" s="58" t="s">
        <v>18</v>
      </c>
      <c r="G42" s="58" t="s">
        <v>19</v>
      </c>
      <c r="I42" s="57" t="s">
        <v>60</v>
      </c>
      <c r="J42" s="17"/>
      <c r="K42" s="58" t="s">
        <v>16</v>
      </c>
      <c r="L42" s="58" t="s">
        <v>17</v>
      </c>
      <c r="M42" s="58" t="s">
        <v>18</v>
      </c>
      <c r="N42" s="58" t="s">
        <v>19</v>
      </c>
    </row>
    <row r="43">
      <c r="B43" s="32" t="s">
        <v>1788</v>
      </c>
      <c r="C43" s="17"/>
      <c r="D43" s="18"/>
      <c r="E43" s="16"/>
      <c r="F43" s="16"/>
      <c r="G43" s="17"/>
      <c r="I43" s="32" t="s">
        <v>1789</v>
      </c>
      <c r="J43" s="17"/>
      <c r="K43" s="18" t="s">
        <v>638</v>
      </c>
      <c r="L43" s="16"/>
      <c r="M43" s="16"/>
      <c r="N43" s="17"/>
    </row>
    <row r="44">
      <c r="B44" s="39" t="s">
        <v>1790</v>
      </c>
      <c r="C44" s="17"/>
      <c r="D44" s="40" t="s">
        <v>78</v>
      </c>
      <c r="E44" s="40" t="s">
        <v>78</v>
      </c>
      <c r="F44" s="40">
        <v>2.0</v>
      </c>
      <c r="G44" s="40"/>
      <c r="I44" s="39" t="s">
        <v>1791</v>
      </c>
      <c r="J44" s="17"/>
      <c r="K44" s="42" t="s">
        <v>1792</v>
      </c>
      <c r="L44" s="288">
        <v>76703.0</v>
      </c>
      <c r="M44" s="40">
        <v>1.0</v>
      </c>
      <c r="N44" s="40"/>
    </row>
    <row r="45">
      <c r="B45" s="39" t="s">
        <v>1793</v>
      </c>
      <c r="C45" s="17"/>
      <c r="D45" s="40" t="s">
        <v>87</v>
      </c>
      <c r="E45" s="40" t="s">
        <v>1794</v>
      </c>
      <c r="F45" s="40">
        <v>1.0</v>
      </c>
      <c r="G45" s="40"/>
      <c r="I45" s="39" t="s">
        <v>1795</v>
      </c>
      <c r="J45" s="17"/>
      <c r="K45" s="42" t="s">
        <v>1792</v>
      </c>
      <c r="L45" s="288">
        <v>76734.0</v>
      </c>
      <c r="M45" s="40">
        <f>SUM(M44)</f>
        <v>1</v>
      </c>
      <c r="N45" s="40"/>
    </row>
    <row r="46">
      <c r="B46" s="32" t="s">
        <v>38</v>
      </c>
      <c r="C46" s="17"/>
      <c r="D46" s="40"/>
      <c r="E46" s="40"/>
      <c r="F46" s="40">
        <f>SUM(F44:F45)</f>
        <v>3</v>
      </c>
      <c r="G46" s="40"/>
      <c r="I46" s="39" t="s">
        <v>1796</v>
      </c>
      <c r="J46" s="17"/>
      <c r="K46" s="42" t="s">
        <v>1792</v>
      </c>
      <c r="L46" s="288">
        <v>76762.0</v>
      </c>
      <c r="M46" s="40">
        <v>1.0</v>
      </c>
      <c r="N46" s="40"/>
    </row>
    <row r="47">
      <c r="I47" s="20" t="s">
        <v>38</v>
      </c>
      <c r="J47" s="17"/>
      <c r="K47" s="72"/>
      <c r="L47" s="72"/>
      <c r="M47" s="4">
        <v>3.0</v>
      </c>
      <c r="N47" s="4"/>
    </row>
    <row r="48">
      <c r="B48" s="28" t="s">
        <v>58</v>
      </c>
      <c r="C48" s="16"/>
      <c r="D48" s="16"/>
      <c r="E48" s="16"/>
      <c r="F48" s="16"/>
      <c r="G48" s="17"/>
    </row>
    <row r="49">
      <c r="B49" s="28" t="s">
        <v>14</v>
      </c>
      <c r="C49" s="16"/>
      <c r="D49" s="16"/>
      <c r="E49" s="16"/>
      <c r="F49" s="16"/>
      <c r="G49" s="17"/>
    </row>
    <row r="50">
      <c r="B50" s="57" t="s">
        <v>60</v>
      </c>
      <c r="C50" s="17"/>
      <c r="D50" s="58" t="s">
        <v>16</v>
      </c>
      <c r="E50" s="58" t="s">
        <v>17</v>
      </c>
      <c r="F50" s="58" t="s">
        <v>18</v>
      </c>
      <c r="G50" s="58" t="s">
        <v>19</v>
      </c>
    </row>
    <row r="51">
      <c r="B51" s="36" t="s">
        <v>1797</v>
      </c>
      <c r="C51" s="17"/>
      <c r="D51" s="28"/>
      <c r="E51" s="16"/>
      <c r="F51" s="16"/>
      <c r="G51" s="17"/>
      <c r="I51" s="18" t="s">
        <v>58</v>
      </c>
      <c r="J51" s="16"/>
      <c r="K51" s="16"/>
      <c r="L51" s="16"/>
      <c r="M51" s="16"/>
      <c r="N51" s="17"/>
    </row>
    <row r="52">
      <c r="B52" s="231" t="s">
        <v>1454</v>
      </c>
      <c r="C52" s="17"/>
      <c r="D52" s="232" t="s">
        <v>87</v>
      </c>
      <c r="E52" s="232" t="s">
        <v>1798</v>
      </c>
      <c r="F52" s="232">
        <v>1.0</v>
      </c>
      <c r="G52" s="232"/>
      <c r="I52" s="18" t="s">
        <v>14</v>
      </c>
      <c r="J52" s="16"/>
      <c r="K52" s="16"/>
      <c r="L52" s="16"/>
      <c r="M52" s="16"/>
      <c r="N52" s="17"/>
    </row>
    <row r="53">
      <c r="B53" s="231" t="s">
        <v>1799</v>
      </c>
      <c r="C53" s="17"/>
      <c r="D53" s="232" t="s">
        <v>87</v>
      </c>
      <c r="E53" s="232" t="s">
        <v>1798</v>
      </c>
      <c r="F53" s="232">
        <f>SUM(F52)</f>
        <v>1</v>
      </c>
      <c r="G53" s="232"/>
      <c r="I53" s="37" t="s">
        <v>60</v>
      </c>
      <c r="J53" s="17"/>
      <c r="K53" s="38" t="s">
        <v>16</v>
      </c>
      <c r="L53" s="38" t="s">
        <v>17</v>
      </c>
      <c r="M53" s="38" t="s">
        <v>18</v>
      </c>
      <c r="N53" s="38" t="s">
        <v>19</v>
      </c>
    </row>
    <row r="54">
      <c r="B54" s="217" t="s">
        <v>38</v>
      </c>
      <c r="C54" s="17"/>
      <c r="D54" s="229"/>
      <c r="E54" s="229"/>
      <c r="F54" s="229">
        <v>2.0</v>
      </c>
      <c r="G54" s="229"/>
      <c r="I54" s="32"/>
      <c r="J54" s="17"/>
      <c r="K54" s="18"/>
      <c r="L54" s="16"/>
      <c r="M54" s="16"/>
      <c r="N54" s="17"/>
    </row>
    <row r="55">
      <c r="I55" s="39" t="s">
        <v>1800</v>
      </c>
      <c r="J55" s="17"/>
      <c r="K55" s="40" t="s">
        <v>1801</v>
      </c>
      <c r="L55" s="40" t="s">
        <v>78</v>
      </c>
      <c r="M55" s="40">
        <v>1.0</v>
      </c>
      <c r="N55" s="40"/>
    </row>
    <row r="56">
      <c r="B56" s="28" t="s">
        <v>58</v>
      </c>
      <c r="C56" s="16"/>
      <c r="D56" s="16"/>
      <c r="E56" s="16"/>
      <c r="F56" s="16"/>
      <c r="G56" s="17"/>
      <c r="I56" s="32" t="s">
        <v>38</v>
      </c>
      <c r="J56" s="17"/>
      <c r="K56" s="40"/>
      <c r="L56" s="40"/>
      <c r="M56" s="40">
        <f>SUM(M55)</f>
        <v>1</v>
      </c>
      <c r="N56" s="40"/>
    </row>
    <row r="57">
      <c r="B57" s="28" t="s">
        <v>14</v>
      </c>
      <c r="C57" s="16"/>
      <c r="D57" s="16"/>
      <c r="E57" s="16"/>
      <c r="F57" s="16"/>
      <c r="G57" s="17"/>
    </row>
    <row r="58">
      <c r="B58" s="57" t="s">
        <v>60</v>
      </c>
      <c r="C58" s="17"/>
      <c r="D58" s="58" t="s">
        <v>16</v>
      </c>
      <c r="E58" s="58" t="s">
        <v>17</v>
      </c>
      <c r="F58" s="58" t="s">
        <v>18</v>
      </c>
      <c r="G58" s="58" t="s">
        <v>19</v>
      </c>
    </row>
    <row r="59">
      <c r="B59" s="39" t="s">
        <v>1802</v>
      </c>
      <c r="C59" s="17"/>
      <c r="D59" s="40" t="s">
        <v>78</v>
      </c>
      <c r="E59" s="40" t="s">
        <v>78</v>
      </c>
      <c r="F59" s="40">
        <v>1.0</v>
      </c>
      <c r="G59" s="40"/>
      <c r="I59" s="18" t="s">
        <v>58</v>
      </c>
      <c r="J59" s="16"/>
      <c r="K59" s="16"/>
      <c r="L59" s="16"/>
      <c r="M59" s="16"/>
      <c r="N59" s="17"/>
    </row>
    <row r="60">
      <c r="B60" s="32" t="s">
        <v>38</v>
      </c>
      <c r="C60" s="17"/>
      <c r="D60" s="40"/>
      <c r="E60" s="40"/>
      <c r="F60" s="40">
        <f>SUM(F59)</f>
        <v>1</v>
      </c>
      <c r="G60" s="40"/>
      <c r="I60" s="18" t="s">
        <v>14</v>
      </c>
      <c r="J60" s="16"/>
      <c r="K60" s="16"/>
      <c r="L60" s="16"/>
      <c r="M60" s="16"/>
      <c r="N60" s="17"/>
    </row>
    <row r="61">
      <c r="I61" s="37" t="s">
        <v>60</v>
      </c>
      <c r="J61" s="17"/>
      <c r="K61" s="38" t="s">
        <v>16</v>
      </c>
      <c r="L61" s="38" t="s">
        <v>17</v>
      </c>
      <c r="M61" s="38" t="s">
        <v>18</v>
      </c>
      <c r="N61" s="38" t="s">
        <v>19</v>
      </c>
    </row>
    <row r="62">
      <c r="I62" s="32" t="s">
        <v>1803</v>
      </c>
      <c r="J62" s="17"/>
      <c r="K62" s="18"/>
      <c r="L62" s="16"/>
      <c r="M62" s="16"/>
      <c r="N62" s="17"/>
    </row>
    <row r="63">
      <c r="B63" s="18" t="s">
        <v>58</v>
      </c>
      <c r="C63" s="16"/>
      <c r="D63" s="16"/>
      <c r="E63" s="16"/>
      <c r="F63" s="16"/>
      <c r="G63" s="17"/>
      <c r="I63" s="39" t="s">
        <v>1804</v>
      </c>
      <c r="J63" s="17"/>
      <c r="K63" s="40" t="s">
        <v>1805</v>
      </c>
      <c r="L63" s="40" t="s">
        <v>1806</v>
      </c>
      <c r="M63" s="40">
        <v>1.0</v>
      </c>
      <c r="N63" s="40"/>
    </row>
    <row r="64">
      <c r="B64" s="18" t="s">
        <v>14</v>
      </c>
      <c r="C64" s="16"/>
      <c r="D64" s="16"/>
      <c r="E64" s="16"/>
      <c r="F64" s="16"/>
      <c r="G64" s="17"/>
      <c r="I64" s="39" t="s">
        <v>1807</v>
      </c>
      <c r="J64" s="17"/>
      <c r="K64" s="40" t="s">
        <v>1805</v>
      </c>
      <c r="L64" s="40" t="s">
        <v>78</v>
      </c>
      <c r="M64" s="40">
        <f>SUM(M63)</f>
        <v>1</v>
      </c>
      <c r="N64" s="40"/>
    </row>
    <row r="65">
      <c r="B65" s="37" t="s">
        <v>60</v>
      </c>
      <c r="C65" s="17"/>
      <c r="D65" s="38" t="s">
        <v>16</v>
      </c>
      <c r="E65" s="38" t="s">
        <v>17</v>
      </c>
      <c r="F65" s="38" t="s">
        <v>18</v>
      </c>
      <c r="G65" s="38" t="s">
        <v>19</v>
      </c>
      <c r="I65" s="20" t="s">
        <v>38</v>
      </c>
      <c r="J65" s="17"/>
      <c r="K65" s="4"/>
      <c r="L65" s="4"/>
      <c r="M65" s="4">
        <v>2.0</v>
      </c>
      <c r="N65" s="4"/>
    </row>
    <row r="66">
      <c r="B66" s="37" t="s">
        <v>1808</v>
      </c>
      <c r="C66" s="17"/>
      <c r="D66" s="108" t="s">
        <v>69</v>
      </c>
      <c r="E66" s="108" t="s">
        <v>78</v>
      </c>
      <c r="F66" s="108">
        <v>1.0</v>
      </c>
      <c r="G66" s="108"/>
    </row>
    <row r="67">
      <c r="B67" s="111" t="s">
        <v>38</v>
      </c>
      <c r="C67" s="17"/>
      <c r="D67" s="289">
        <v>1.0</v>
      </c>
      <c r="E67" s="16"/>
      <c r="F67" s="16"/>
      <c r="G67" s="17"/>
      <c r="I67" s="18" t="s">
        <v>58</v>
      </c>
      <c r="J67" s="16"/>
      <c r="K67" s="16"/>
      <c r="L67" s="16"/>
      <c r="M67" s="16"/>
      <c r="N67" s="17"/>
    </row>
    <row r="68">
      <c r="I68" s="18" t="s">
        <v>14</v>
      </c>
      <c r="J68" s="16"/>
      <c r="K68" s="16"/>
      <c r="L68" s="16"/>
      <c r="M68" s="16"/>
      <c r="N68" s="17"/>
    </row>
    <row r="69">
      <c r="B69" s="18" t="s">
        <v>58</v>
      </c>
      <c r="C69" s="16"/>
      <c r="D69" s="16"/>
      <c r="E69" s="16"/>
      <c r="F69" s="16"/>
      <c r="G69" s="17"/>
      <c r="I69" s="37" t="s">
        <v>60</v>
      </c>
      <c r="J69" s="17"/>
      <c r="K69" s="38" t="s">
        <v>16</v>
      </c>
      <c r="L69" s="38" t="s">
        <v>17</v>
      </c>
      <c r="M69" s="38" t="s">
        <v>18</v>
      </c>
      <c r="N69" s="38" t="s">
        <v>19</v>
      </c>
    </row>
    <row r="70">
      <c r="B70" s="18" t="s">
        <v>14</v>
      </c>
      <c r="C70" s="16"/>
      <c r="D70" s="16"/>
      <c r="E70" s="16"/>
      <c r="F70" s="16"/>
      <c r="G70" s="17"/>
      <c r="I70" s="32" t="s">
        <v>1809</v>
      </c>
      <c r="J70" s="17"/>
      <c r="K70" s="18"/>
      <c r="L70" s="16"/>
      <c r="M70" s="16"/>
      <c r="N70" s="17"/>
    </row>
    <row r="71">
      <c r="B71" s="37" t="s">
        <v>60</v>
      </c>
      <c r="C71" s="17"/>
      <c r="D71" s="38" t="s">
        <v>16</v>
      </c>
      <c r="E71" s="38" t="s">
        <v>17</v>
      </c>
      <c r="F71" s="38" t="s">
        <v>18</v>
      </c>
      <c r="G71" s="38" t="s">
        <v>19</v>
      </c>
      <c r="I71" s="39" t="s">
        <v>199</v>
      </c>
      <c r="J71" s="17"/>
      <c r="K71" s="40" t="s">
        <v>845</v>
      </c>
      <c r="L71" s="40" t="s">
        <v>78</v>
      </c>
      <c r="M71" s="40">
        <v>1.0</v>
      </c>
      <c r="N71" s="40"/>
    </row>
    <row r="72">
      <c r="B72" s="37" t="s">
        <v>1810</v>
      </c>
      <c r="C72" s="17"/>
      <c r="D72" s="108"/>
      <c r="E72" s="108"/>
      <c r="F72" s="108"/>
      <c r="G72" s="108"/>
      <c r="I72" s="39" t="s">
        <v>1811</v>
      </c>
      <c r="J72" s="17"/>
      <c r="K72" s="40" t="s">
        <v>845</v>
      </c>
      <c r="L72" s="40" t="s">
        <v>78</v>
      </c>
      <c r="M72" s="40">
        <f>SUM(M71)</f>
        <v>1</v>
      </c>
      <c r="N72" s="40"/>
    </row>
    <row r="73">
      <c r="B73" s="87" t="s">
        <v>599</v>
      </c>
      <c r="C73" s="17"/>
      <c r="D73" s="108" t="s">
        <v>78</v>
      </c>
      <c r="E73" s="108" t="s">
        <v>78</v>
      </c>
      <c r="F73" s="109">
        <v>1.0</v>
      </c>
      <c r="G73" s="108"/>
      <c r="I73" s="20" t="s">
        <v>38</v>
      </c>
      <c r="J73" s="17"/>
      <c r="K73" s="4"/>
      <c r="L73" s="4"/>
      <c r="M73" s="4">
        <v>2.0</v>
      </c>
      <c r="N73" s="4"/>
    </row>
    <row r="74">
      <c r="B74" s="87" t="s">
        <v>1069</v>
      </c>
      <c r="C74" s="17"/>
      <c r="D74" s="108" t="s">
        <v>87</v>
      </c>
      <c r="E74" s="112" t="s">
        <v>147</v>
      </c>
      <c r="F74" s="109">
        <v>1.0</v>
      </c>
      <c r="G74" s="108"/>
    </row>
    <row r="75">
      <c r="B75" s="87" t="s">
        <v>1812</v>
      </c>
      <c r="C75" s="17"/>
      <c r="D75" s="108" t="s">
        <v>78</v>
      </c>
      <c r="E75" s="108" t="s">
        <v>78</v>
      </c>
      <c r="F75" s="109">
        <v>1.0</v>
      </c>
      <c r="G75" s="108"/>
    </row>
    <row r="76">
      <c r="B76" s="32" t="s">
        <v>38</v>
      </c>
      <c r="C76" s="17"/>
      <c r="D76" s="290">
        <f>SUM(F73:F75)</f>
        <v>3</v>
      </c>
      <c r="E76" s="16"/>
      <c r="F76" s="16"/>
      <c r="G76" s="17"/>
    </row>
    <row r="78">
      <c r="C78" s="28" t="s">
        <v>58</v>
      </c>
      <c r="D78" s="16"/>
      <c r="E78" s="16"/>
      <c r="F78" s="16"/>
      <c r="G78" s="16"/>
      <c r="H78" s="17"/>
      <c r="J78" s="28" t="s">
        <v>58</v>
      </c>
      <c r="K78" s="16"/>
      <c r="L78" s="16"/>
      <c r="M78" s="16"/>
      <c r="N78" s="16"/>
      <c r="O78" s="17"/>
    </row>
    <row r="79">
      <c r="C79" s="28" t="s">
        <v>14</v>
      </c>
      <c r="D79" s="16"/>
      <c r="E79" s="16"/>
      <c r="F79" s="16"/>
      <c r="G79" s="16"/>
      <c r="H79" s="17"/>
      <c r="J79" s="28" t="s">
        <v>14</v>
      </c>
      <c r="K79" s="16"/>
      <c r="L79" s="16"/>
      <c r="M79" s="16"/>
      <c r="N79" s="16"/>
      <c r="O79" s="17"/>
    </row>
    <row r="80">
      <c r="C80" s="57" t="s">
        <v>60</v>
      </c>
      <c r="D80" s="17"/>
      <c r="E80" s="58" t="s">
        <v>16</v>
      </c>
      <c r="F80" s="58" t="s">
        <v>17</v>
      </c>
      <c r="G80" s="58" t="s">
        <v>18</v>
      </c>
      <c r="H80" s="58" t="s">
        <v>19</v>
      </c>
      <c r="J80" s="57" t="s">
        <v>60</v>
      </c>
      <c r="K80" s="17"/>
      <c r="L80" s="58" t="s">
        <v>16</v>
      </c>
      <c r="M80" s="58" t="s">
        <v>17</v>
      </c>
      <c r="N80" s="58" t="s">
        <v>18</v>
      </c>
      <c r="O80" s="58" t="s">
        <v>19</v>
      </c>
    </row>
    <row r="81">
      <c r="C81" s="57" t="s">
        <v>1813</v>
      </c>
      <c r="D81" s="17"/>
      <c r="E81" s="120" t="s">
        <v>75</v>
      </c>
      <c r="F81" s="120" t="s">
        <v>78</v>
      </c>
      <c r="G81" s="120">
        <v>1.0</v>
      </c>
      <c r="H81" s="120"/>
      <c r="J81" s="57" t="s">
        <v>1814</v>
      </c>
      <c r="K81" s="17"/>
      <c r="L81" s="120" t="s">
        <v>1703</v>
      </c>
      <c r="M81" s="120" t="s">
        <v>1815</v>
      </c>
      <c r="N81" s="120">
        <v>1.0</v>
      </c>
      <c r="O81" s="120"/>
    </row>
    <row r="82">
      <c r="C82" s="256" t="s">
        <v>38</v>
      </c>
      <c r="D82" s="17"/>
      <c r="E82" s="257">
        <v>1.0</v>
      </c>
      <c r="F82" s="16"/>
      <c r="G82" s="16"/>
      <c r="H82" s="17"/>
      <c r="J82" s="256" t="s">
        <v>38</v>
      </c>
      <c r="K82" s="17"/>
      <c r="L82" s="257">
        <v>1.0</v>
      </c>
      <c r="M82" s="16"/>
      <c r="N82" s="16"/>
      <c r="O82" s="17"/>
    </row>
  </sheetData>
  <mergeCells count="144">
    <mergeCell ref="B14:C14"/>
    <mergeCell ref="D14:G14"/>
    <mergeCell ref="B15:C15"/>
    <mergeCell ref="B16:C16"/>
    <mergeCell ref="I16:N16"/>
    <mergeCell ref="I17:N17"/>
    <mergeCell ref="I18:J18"/>
    <mergeCell ref="B18:G18"/>
    <mergeCell ref="B19:G19"/>
    <mergeCell ref="K19:N19"/>
    <mergeCell ref="B20:C20"/>
    <mergeCell ref="B21:C21"/>
    <mergeCell ref="D21:G21"/>
    <mergeCell ref="B22:C22"/>
    <mergeCell ref="B23:C23"/>
    <mergeCell ref="I23:J23"/>
    <mergeCell ref="B24:C24"/>
    <mergeCell ref="I24:J24"/>
    <mergeCell ref="B26:G26"/>
    <mergeCell ref="I26:N26"/>
    <mergeCell ref="I27:N27"/>
    <mergeCell ref="B27:G27"/>
    <mergeCell ref="B28:C28"/>
    <mergeCell ref="I28:J28"/>
    <mergeCell ref="B29:C29"/>
    <mergeCell ref="D29:G29"/>
    <mergeCell ref="I29:J29"/>
    <mergeCell ref="I30:J30"/>
    <mergeCell ref="I34:N34"/>
    <mergeCell ref="I35:J35"/>
    <mergeCell ref="B30:C30"/>
    <mergeCell ref="B31:C31"/>
    <mergeCell ref="B32:C32"/>
    <mergeCell ref="B33:C33"/>
    <mergeCell ref="I33:N33"/>
    <mergeCell ref="B34:C34"/>
    <mergeCell ref="B35:C35"/>
    <mergeCell ref="B36:C36"/>
    <mergeCell ref="I36:J36"/>
    <mergeCell ref="B37:C37"/>
    <mergeCell ref="I37:J37"/>
    <mergeCell ref="B40:G40"/>
    <mergeCell ref="I40:N40"/>
    <mergeCell ref="I41:N41"/>
    <mergeCell ref="B41:G41"/>
    <mergeCell ref="B42:C42"/>
    <mergeCell ref="I42:J42"/>
    <mergeCell ref="B43:C43"/>
    <mergeCell ref="D43:G43"/>
    <mergeCell ref="K43:N43"/>
    <mergeCell ref="B44:C44"/>
    <mergeCell ref="B2:G2"/>
    <mergeCell ref="B3:G3"/>
    <mergeCell ref="B4:C4"/>
    <mergeCell ref="B5:C5"/>
    <mergeCell ref="D5:G5"/>
    <mergeCell ref="B6:C6"/>
    <mergeCell ref="B7:C7"/>
    <mergeCell ref="I12:J12"/>
    <mergeCell ref="K12:N12"/>
    <mergeCell ref="I11:J11"/>
    <mergeCell ref="I13:J13"/>
    <mergeCell ref="I14:J14"/>
    <mergeCell ref="B8:C8"/>
    <mergeCell ref="B9:C9"/>
    <mergeCell ref="I9:N9"/>
    <mergeCell ref="I10:N10"/>
    <mergeCell ref="B11:G11"/>
    <mergeCell ref="B12:G12"/>
    <mergeCell ref="B13:C13"/>
    <mergeCell ref="I20:J20"/>
    <mergeCell ref="I21:J21"/>
    <mergeCell ref="I19:J19"/>
    <mergeCell ref="I22:J22"/>
    <mergeCell ref="I43:J43"/>
    <mergeCell ref="I44:J44"/>
    <mergeCell ref="B45:C45"/>
    <mergeCell ref="I45:J45"/>
    <mergeCell ref="B46:C46"/>
    <mergeCell ref="I46:J46"/>
    <mergeCell ref="I47:J47"/>
    <mergeCell ref="I72:J72"/>
    <mergeCell ref="I73:J73"/>
    <mergeCell ref="B69:G69"/>
    <mergeCell ref="B70:G70"/>
    <mergeCell ref="I70:J70"/>
    <mergeCell ref="B71:C71"/>
    <mergeCell ref="I71:J71"/>
    <mergeCell ref="B72:C72"/>
    <mergeCell ref="B73:C73"/>
    <mergeCell ref="B74:C74"/>
    <mergeCell ref="B75:C75"/>
    <mergeCell ref="B76:C76"/>
    <mergeCell ref="D76:G76"/>
    <mergeCell ref="C78:H78"/>
    <mergeCell ref="J78:O78"/>
    <mergeCell ref="J79:O79"/>
    <mergeCell ref="C79:H79"/>
    <mergeCell ref="C80:D80"/>
    <mergeCell ref="J80:K80"/>
    <mergeCell ref="C81:D81"/>
    <mergeCell ref="J81:K81"/>
    <mergeCell ref="C82:D82"/>
    <mergeCell ref="E82:H82"/>
    <mergeCell ref="B48:G48"/>
    <mergeCell ref="B49:G49"/>
    <mergeCell ref="B50:C50"/>
    <mergeCell ref="B51:C51"/>
    <mergeCell ref="D51:G51"/>
    <mergeCell ref="I51:N51"/>
    <mergeCell ref="I52:N52"/>
    <mergeCell ref="I53:J53"/>
    <mergeCell ref="I54:J54"/>
    <mergeCell ref="K54:N54"/>
    <mergeCell ref="I55:J55"/>
    <mergeCell ref="I56:J56"/>
    <mergeCell ref="I59:N59"/>
    <mergeCell ref="I60:N60"/>
    <mergeCell ref="B52:C52"/>
    <mergeCell ref="B53:C53"/>
    <mergeCell ref="B54:C54"/>
    <mergeCell ref="B56:G56"/>
    <mergeCell ref="B57:G57"/>
    <mergeCell ref="B58:C58"/>
    <mergeCell ref="B59:C59"/>
    <mergeCell ref="I68:N68"/>
    <mergeCell ref="I69:J69"/>
    <mergeCell ref="K70:N70"/>
    <mergeCell ref="I61:J61"/>
    <mergeCell ref="I62:J62"/>
    <mergeCell ref="K62:N62"/>
    <mergeCell ref="I63:J63"/>
    <mergeCell ref="I64:J64"/>
    <mergeCell ref="I65:J65"/>
    <mergeCell ref="I67:N67"/>
    <mergeCell ref="B60:C60"/>
    <mergeCell ref="B63:G63"/>
    <mergeCell ref="B64:G64"/>
    <mergeCell ref="B65:C65"/>
    <mergeCell ref="B66:C66"/>
    <mergeCell ref="B67:C67"/>
    <mergeCell ref="D67:G67"/>
    <mergeCell ref="J82:K82"/>
    <mergeCell ref="L82:O8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18.57"/>
    <col customWidth="1" min="14" max="14" width="3.14"/>
    <col customWidth="1" min="15" max="15" width="0.43"/>
    <col customWidth="1" min="17" max="17" width="5.14"/>
    <col customWidth="1" min="18" max="18" width="19.57"/>
  </cols>
  <sheetData>
    <row r="2">
      <c r="B2" s="163" t="s">
        <v>58</v>
      </c>
      <c r="C2" s="16"/>
      <c r="D2" s="16"/>
      <c r="E2" s="16"/>
      <c r="F2" s="16"/>
      <c r="G2" s="17"/>
      <c r="I2" s="291"/>
      <c r="R2" s="291"/>
    </row>
    <row r="3">
      <c r="B3" s="163" t="s">
        <v>14</v>
      </c>
      <c r="C3" s="16"/>
      <c r="D3" s="16"/>
      <c r="E3" s="16"/>
      <c r="F3" s="16"/>
      <c r="G3" s="17"/>
      <c r="I3" s="292"/>
      <c r="R3" s="291"/>
    </row>
    <row r="4">
      <c r="B4" s="163" t="s">
        <v>60</v>
      </c>
      <c r="C4" s="17"/>
      <c r="D4" s="273" t="s">
        <v>16</v>
      </c>
      <c r="E4" s="273" t="s">
        <v>17</v>
      </c>
      <c r="F4" s="273" t="s">
        <v>18</v>
      </c>
      <c r="G4" s="273" t="s">
        <v>19</v>
      </c>
      <c r="I4" s="292"/>
      <c r="R4" s="291"/>
    </row>
    <row r="5">
      <c r="B5" s="28" t="s">
        <v>1816</v>
      </c>
      <c r="C5" s="17"/>
      <c r="D5" s="181"/>
      <c r="E5" s="16"/>
      <c r="F5" s="16"/>
      <c r="G5" s="17"/>
      <c r="I5" s="292"/>
      <c r="R5" s="291"/>
    </row>
    <row r="6">
      <c r="B6" s="41" t="s">
        <v>1228</v>
      </c>
      <c r="C6" s="17"/>
      <c r="D6" s="72" t="s">
        <v>168</v>
      </c>
      <c r="E6" s="72" t="s">
        <v>1817</v>
      </c>
      <c r="F6" s="92">
        <v>1.0</v>
      </c>
      <c r="G6" s="72"/>
    </row>
    <row r="7">
      <c r="B7" s="41" t="s">
        <v>1228</v>
      </c>
      <c r="C7" s="17"/>
      <c r="D7" s="293" t="s">
        <v>84</v>
      </c>
      <c r="E7" s="92" t="s">
        <v>78</v>
      </c>
      <c r="F7" s="92">
        <v>1.0</v>
      </c>
      <c r="G7" s="72"/>
      <c r="I7" s="294"/>
      <c r="L7" s="294"/>
      <c r="P7" s="294"/>
      <c r="R7" s="294"/>
    </row>
    <row r="8">
      <c r="B8" s="41" t="s">
        <v>726</v>
      </c>
      <c r="C8" s="17"/>
      <c r="D8" s="293" t="s">
        <v>120</v>
      </c>
      <c r="E8" s="92" t="s">
        <v>121</v>
      </c>
      <c r="F8" s="92">
        <v>1.0</v>
      </c>
      <c r="G8" s="72"/>
      <c r="I8" s="295"/>
      <c r="L8" s="295"/>
      <c r="P8" s="295"/>
      <c r="R8" s="295"/>
    </row>
    <row r="9">
      <c r="B9" s="41" t="s">
        <v>726</v>
      </c>
      <c r="C9" s="17"/>
      <c r="D9" s="293" t="s">
        <v>69</v>
      </c>
      <c r="E9" s="92" t="s">
        <v>70</v>
      </c>
      <c r="F9" s="92">
        <v>1.0</v>
      </c>
      <c r="G9" s="72"/>
      <c r="I9" s="295"/>
      <c r="L9" s="295"/>
      <c r="P9" s="295"/>
      <c r="R9" s="295"/>
    </row>
    <row r="10">
      <c r="B10" s="41" t="s">
        <v>1818</v>
      </c>
      <c r="C10" s="17"/>
      <c r="D10" s="92" t="s">
        <v>87</v>
      </c>
      <c r="E10" s="92" t="s">
        <v>200</v>
      </c>
      <c r="F10" s="92">
        <v>2.0</v>
      </c>
      <c r="G10" s="72"/>
      <c r="I10" s="295"/>
      <c r="L10" s="295"/>
      <c r="P10" s="295"/>
      <c r="R10" s="295"/>
    </row>
    <row r="11">
      <c r="B11" s="41" t="s">
        <v>736</v>
      </c>
      <c r="C11" s="17"/>
      <c r="D11" s="92" t="s">
        <v>78</v>
      </c>
      <c r="E11" s="92" t="s">
        <v>78</v>
      </c>
      <c r="F11" s="92">
        <v>1.0</v>
      </c>
      <c r="G11" s="72"/>
      <c r="I11" s="295"/>
      <c r="L11" s="295"/>
      <c r="P11" s="295"/>
      <c r="R11" s="295"/>
    </row>
    <row r="12">
      <c r="B12" s="41" t="s">
        <v>736</v>
      </c>
      <c r="C12" s="17"/>
      <c r="D12" s="296" t="s">
        <v>87</v>
      </c>
      <c r="E12" s="63" t="s">
        <v>430</v>
      </c>
      <c r="F12" s="63">
        <v>1.0</v>
      </c>
      <c r="G12" s="42"/>
      <c r="I12" s="295"/>
      <c r="L12" s="295"/>
      <c r="P12" s="295"/>
      <c r="R12" s="295"/>
    </row>
    <row r="13">
      <c r="B13" s="73" t="s">
        <v>1679</v>
      </c>
      <c r="C13" s="17"/>
      <c r="D13" s="297" t="s">
        <v>222</v>
      </c>
      <c r="E13" s="92" t="s">
        <v>78</v>
      </c>
      <c r="F13" s="92">
        <v>1.0</v>
      </c>
      <c r="G13" s="72" t="s">
        <v>1819</v>
      </c>
      <c r="I13" s="295"/>
      <c r="L13" s="295"/>
      <c r="P13" s="295"/>
      <c r="R13" s="295"/>
    </row>
    <row r="14">
      <c r="B14" s="73" t="s">
        <v>173</v>
      </c>
      <c r="C14" s="17"/>
      <c r="D14" s="297" t="s">
        <v>1820</v>
      </c>
      <c r="E14" s="92" t="s">
        <v>78</v>
      </c>
      <c r="F14" s="92">
        <v>1.0</v>
      </c>
      <c r="G14" s="72"/>
    </row>
    <row r="15">
      <c r="B15" s="73" t="s">
        <v>173</v>
      </c>
      <c r="C15" s="17"/>
      <c r="D15" s="92" t="s">
        <v>168</v>
      </c>
      <c r="E15" s="92" t="s">
        <v>1821</v>
      </c>
      <c r="F15" s="92">
        <v>1.0</v>
      </c>
      <c r="G15" s="72"/>
    </row>
    <row r="16">
      <c r="B16" s="41" t="s">
        <v>524</v>
      </c>
      <c r="C16" s="17"/>
      <c r="D16" s="269" t="s">
        <v>78</v>
      </c>
      <c r="E16" s="63" t="s">
        <v>78</v>
      </c>
      <c r="F16" s="63">
        <v>1.0</v>
      </c>
      <c r="G16" s="298"/>
    </row>
    <row r="17">
      <c r="B17" s="113" t="s">
        <v>38</v>
      </c>
      <c r="C17" s="17"/>
      <c r="D17" s="163"/>
      <c r="E17" s="273"/>
      <c r="F17" s="273">
        <f>SUM(F6:F16)</f>
        <v>12</v>
      </c>
      <c r="G17" s="273"/>
    </row>
    <row r="19">
      <c r="B19" s="28" t="s">
        <v>14</v>
      </c>
      <c r="C19" s="16"/>
      <c r="D19" s="16"/>
      <c r="E19" s="16"/>
      <c r="F19" s="16"/>
      <c r="G19" s="17"/>
    </row>
    <row r="20">
      <c r="B20" s="28" t="s">
        <v>60</v>
      </c>
      <c r="C20" s="17"/>
      <c r="D20" s="30" t="s">
        <v>16</v>
      </c>
      <c r="E20" s="30" t="s">
        <v>17</v>
      </c>
      <c r="F20" s="30" t="s">
        <v>18</v>
      </c>
      <c r="G20" s="30" t="s">
        <v>19</v>
      </c>
    </row>
    <row r="21">
      <c r="B21" s="28" t="s">
        <v>1822</v>
      </c>
      <c r="C21" s="17"/>
      <c r="D21" s="181"/>
      <c r="E21" s="16"/>
      <c r="F21" s="16"/>
      <c r="G21" s="17"/>
    </row>
    <row r="22">
      <c r="B22" s="41" t="s">
        <v>1823</v>
      </c>
      <c r="C22" s="17"/>
      <c r="D22" s="72" t="s">
        <v>87</v>
      </c>
      <c r="E22" s="72" t="s">
        <v>1824</v>
      </c>
      <c r="F22" s="72">
        <v>1.0</v>
      </c>
      <c r="G22" s="72"/>
    </row>
    <row r="23">
      <c r="B23" s="41" t="s">
        <v>1823</v>
      </c>
      <c r="C23" s="17"/>
      <c r="D23" s="223"/>
      <c r="E23" s="72"/>
      <c r="F23" s="72">
        <v>1.0</v>
      </c>
      <c r="G23" s="72"/>
    </row>
    <row r="24">
      <c r="B24" s="41" t="s">
        <v>1825</v>
      </c>
      <c r="C24" s="17"/>
      <c r="D24" s="72" t="s">
        <v>87</v>
      </c>
      <c r="E24" s="72" t="s">
        <v>1685</v>
      </c>
      <c r="F24" s="72">
        <v>1.0</v>
      </c>
      <c r="G24" s="72"/>
    </row>
    <row r="25">
      <c r="B25" s="41" t="s">
        <v>1825</v>
      </c>
      <c r="C25" s="17"/>
      <c r="D25" s="72" t="s">
        <v>87</v>
      </c>
      <c r="E25" s="72" t="s">
        <v>1826</v>
      </c>
      <c r="F25" s="72">
        <v>1.0</v>
      </c>
      <c r="G25" s="72"/>
    </row>
    <row r="26">
      <c r="B26" s="41" t="s">
        <v>1827</v>
      </c>
      <c r="C26" s="17"/>
      <c r="D26" s="279" t="s">
        <v>120</v>
      </c>
      <c r="E26" s="177" t="s">
        <v>1828</v>
      </c>
      <c r="F26" s="177">
        <v>1.0</v>
      </c>
      <c r="G26" s="177"/>
    </row>
    <row r="27">
      <c r="B27" s="41" t="s">
        <v>1676</v>
      </c>
      <c r="C27" s="17"/>
      <c r="D27" s="222" t="s">
        <v>87</v>
      </c>
      <c r="E27" s="72" t="s">
        <v>1829</v>
      </c>
      <c r="F27" s="72">
        <v>1.0</v>
      </c>
      <c r="G27" s="72"/>
    </row>
    <row r="28">
      <c r="B28" s="73"/>
      <c r="C28" s="17"/>
      <c r="D28" s="72"/>
      <c r="E28" s="72"/>
      <c r="F28" s="72"/>
      <c r="G28" s="72"/>
    </row>
    <row r="29">
      <c r="B29" s="113" t="s">
        <v>38</v>
      </c>
      <c r="C29" s="17"/>
      <c r="D29" s="163"/>
      <c r="E29" s="273"/>
      <c r="F29" s="273">
        <f>SUM(F22:F28)</f>
        <v>6</v>
      </c>
      <c r="G29" s="273"/>
    </row>
  </sheetData>
  <mergeCells count="55">
    <mergeCell ref="B13:C13"/>
    <mergeCell ref="B14:C14"/>
    <mergeCell ref="B15:C15"/>
    <mergeCell ref="B16:C16"/>
    <mergeCell ref="B17:C17"/>
    <mergeCell ref="B19:G19"/>
    <mergeCell ref="B20:C20"/>
    <mergeCell ref="B27:C27"/>
    <mergeCell ref="B28:C28"/>
    <mergeCell ref="B29:C29"/>
    <mergeCell ref="B21:C21"/>
    <mergeCell ref="D21:G21"/>
    <mergeCell ref="B22:C22"/>
    <mergeCell ref="B23:C23"/>
    <mergeCell ref="B24:C24"/>
    <mergeCell ref="B25:C25"/>
    <mergeCell ref="B26:C26"/>
    <mergeCell ref="B2:G2"/>
    <mergeCell ref="I2:Q2"/>
    <mergeCell ref="B3:G3"/>
    <mergeCell ref="I3:Q3"/>
    <mergeCell ref="B4:C4"/>
    <mergeCell ref="B5:C5"/>
    <mergeCell ref="D5:G5"/>
    <mergeCell ref="L8:O8"/>
    <mergeCell ref="P8:Q8"/>
    <mergeCell ref="I4:Q4"/>
    <mergeCell ref="I5:Q6"/>
    <mergeCell ref="R5:R6"/>
    <mergeCell ref="I7:K7"/>
    <mergeCell ref="L7:O7"/>
    <mergeCell ref="P7:Q7"/>
    <mergeCell ref="I8:K8"/>
    <mergeCell ref="L11:O11"/>
    <mergeCell ref="P11:Q11"/>
    <mergeCell ref="I12:K12"/>
    <mergeCell ref="L12:O12"/>
    <mergeCell ref="P12:Q12"/>
    <mergeCell ref="I13:K13"/>
    <mergeCell ref="L13:O13"/>
    <mergeCell ref="P13:Q13"/>
    <mergeCell ref="I9:K9"/>
    <mergeCell ref="L9:O9"/>
    <mergeCell ref="P9:Q9"/>
    <mergeCell ref="I10:K10"/>
    <mergeCell ref="L10:O10"/>
    <mergeCell ref="P10:Q10"/>
    <mergeCell ref="I11:K11"/>
    <mergeCell ref="B6:C6"/>
    <mergeCell ref="B7:C7"/>
    <mergeCell ref="B8:C8"/>
    <mergeCell ref="B9:C9"/>
    <mergeCell ref="B10:C10"/>
    <mergeCell ref="B11:C11"/>
    <mergeCell ref="B12:C1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41.0"/>
    <col customWidth="1" min="3" max="3" width="18.57"/>
    <col customWidth="1" min="4" max="4" width="29.57"/>
    <col customWidth="1" min="5" max="5" width="23.14"/>
    <col customWidth="1" min="6" max="6" width="24.29"/>
    <col customWidth="1" min="7" max="7" width="19.0"/>
    <col customWidth="1" min="8" max="8" width="30.0"/>
    <col customWidth="1" min="14" max="14" width="17.14"/>
    <col customWidth="1" min="16" max="16" width="39.57"/>
    <col customWidth="1" min="19" max="19" width="29.71"/>
  </cols>
  <sheetData>
    <row r="2">
      <c r="B2" s="18" t="s">
        <v>1830</v>
      </c>
      <c r="C2" s="16"/>
      <c r="D2" s="16"/>
      <c r="E2" s="16"/>
      <c r="F2" s="16"/>
      <c r="G2" s="17"/>
      <c r="I2" s="18" t="s">
        <v>1831</v>
      </c>
      <c r="J2" s="16"/>
      <c r="K2" s="16"/>
      <c r="L2" s="16"/>
      <c r="M2" s="16"/>
      <c r="N2" s="17"/>
    </row>
    <row r="3">
      <c r="B3" s="18" t="s">
        <v>14</v>
      </c>
      <c r="C3" s="16"/>
      <c r="D3" s="16"/>
      <c r="E3" s="16"/>
      <c r="F3" s="16"/>
      <c r="G3" s="17"/>
      <c r="I3" s="18" t="s">
        <v>14</v>
      </c>
      <c r="J3" s="16"/>
      <c r="K3" s="16"/>
      <c r="L3" s="16"/>
      <c r="M3" s="16"/>
      <c r="N3" s="17"/>
    </row>
    <row r="4">
      <c r="B4" s="37" t="s">
        <v>60</v>
      </c>
      <c r="C4" s="17"/>
      <c r="D4" s="38" t="s">
        <v>16</v>
      </c>
      <c r="E4" s="38" t="s">
        <v>17</v>
      </c>
      <c r="F4" s="38" t="s">
        <v>18</v>
      </c>
      <c r="G4" s="38" t="s">
        <v>19</v>
      </c>
      <c r="I4" s="37" t="s">
        <v>60</v>
      </c>
      <c r="J4" s="17"/>
      <c r="K4" s="38" t="s">
        <v>16</v>
      </c>
      <c r="L4" s="38" t="s">
        <v>17</v>
      </c>
      <c r="M4" s="38" t="s">
        <v>18</v>
      </c>
      <c r="N4" s="38" t="s">
        <v>19</v>
      </c>
    </row>
    <row r="5">
      <c r="B5" s="18"/>
      <c r="C5" s="17"/>
      <c r="D5" s="18"/>
      <c r="E5" s="16"/>
      <c r="F5" s="16"/>
      <c r="G5" s="17"/>
      <c r="I5" s="18"/>
      <c r="J5" s="16"/>
      <c r="K5" s="16"/>
      <c r="L5" s="16"/>
      <c r="M5" s="16"/>
      <c r="N5" s="17"/>
    </row>
    <row r="6">
      <c r="B6" s="39" t="s">
        <v>1832</v>
      </c>
      <c r="C6" s="17"/>
      <c r="D6" s="40" t="s">
        <v>78</v>
      </c>
      <c r="E6" s="40" t="s">
        <v>78</v>
      </c>
      <c r="F6" s="40">
        <v>2.0</v>
      </c>
      <c r="G6" s="40"/>
      <c r="I6" s="39" t="s">
        <v>434</v>
      </c>
      <c r="J6" s="17"/>
      <c r="K6" s="40" t="s">
        <v>87</v>
      </c>
      <c r="L6" s="40" t="s">
        <v>78</v>
      </c>
      <c r="M6" s="40">
        <v>1.0</v>
      </c>
      <c r="N6" s="40"/>
    </row>
    <row r="7">
      <c r="B7" s="39" t="s">
        <v>1187</v>
      </c>
      <c r="C7" s="17"/>
      <c r="D7" s="40" t="s">
        <v>705</v>
      </c>
      <c r="E7" s="40" t="s">
        <v>1833</v>
      </c>
      <c r="F7" s="40">
        <v>1.0</v>
      </c>
      <c r="G7" s="40"/>
      <c r="I7" s="39" t="s">
        <v>1834</v>
      </c>
      <c r="J7" s="17"/>
      <c r="K7" s="40" t="s">
        <v>87</v>
      </c>
      <c r="L7" s="40" t="s">
        <v>78</v>
      </c>
      <c r="M7" s="40">
        <v>1.0</v>
      </c>
      <c r="N7" s="40"/>
    </row>
    <row r="8">
      <c r="B8" s="39" t="s">
        <v>1835</v>
      </c>
      <c r="C8" s="17"/>
      <c r="D8" s="40" t="s">
        <v>84</v>
      </c>
      <c r="E8" s="40" t="s">
        <v>78</v>
      </c>
      <c r="F8" s="40">
        <v>1.0</v>
      </c>
      <c r="G8" s="40"/>
      <c r="I8" s="39" t="s">
        <v>431</v>
      </c>
      <c r="J8" s="17"/>
      <c r="K8" s="40" t="s">
        <v>87</v>
      </c>
      <c r="L8" s="45" t="s">
        <v>78</v>
      </c>
      <c r="M8" s="40">
        <v>1.0</v>
      </c>
      <c r="N8" s="40"/>
    </row>
    <row r="9">
      <c r="B9" s="39" t="s">
        <v>1836</v>
      </c>
      <c r="C9" s="17"/>
      <c r="D9" s="40" t="s">
        <v>75</v>
      </c>
      <c r="E9" s="40" t="s">
        <v>608</v>
      </c>
      <c r="F9" s="40">
        <v>1.0</v>
      </c>
      <c r="G9" s="40"/>
      <c r="I9" s="39" t="s">
        <v>465</v>
      </c>
      <c r="J9" s="17"/>
      <c r="K9" s="40" t="s">
        <v>87</v>
      </c>
      <c r="L9" s="40" t="s">
        <v>78</v>
      </c>
      <c r="M9" s="40">
        <v>1.0</v>
      </c>
      <c r="N9" s="40"/>
    </row>
    <row r="10">
      <c r="B10" s="39" t="s">
        <v>480</v>
      </c>
      <c r="C10" s="17"/>
      <c r="D10" s="40" t="s">
        <v>197</v>
      </c>
      <c r="E10" s="40" t="s">
        <v>78</v>
      </c>
      <c r="F10" s="40">
        <v>1.0</v>
      </c>
      <c r="G10" s="40"/>
      <c r="I10" s="39" t="s">
        <v>1837</v>
      </c>
      <c r="J10" s="17"/>
      <c r="K10" s="40" t="s">
        <v>87</v>
      </c>
      <c r="L10" s="40" t="s">
        <v>1684</v>
      </c>
      <c r="M10" s="40">
        <v>1.0</v>
      </c>
      <c r="N10" s="40"/>
    </row>
    <row r="11">
      <c r="B11" s="39" t="s">
        <v>1838</v>
      </c>
      <c r="C11" s="17"/>
      <c r="D11" s="40" t="s">
        <v>87</v>
      </c>
      <c r="E11" s="40" t="s">
        <v>284</v>
      </c>
      <c r="F11" s="40">
        <v>1.0</v>
      </c>
      <c r="G11" s="40"/>
      <c r="I11" s="39" t="s">
        <v>1837</v>
      </c>
      <c r="J11" s="17"/>
      <c r="K11" s="40" t="s">
        <v>87</v>
      </c>
      <c r="L11" s="40" t="s">
        <v>1685</v>
      </c>
      <c r="M11" s="40">
        <v>1.0</v>
      </c>
      <c r="N11" s="40"/>
    </row>
    <row r="12">
      <c r="B12" s="39" t="s">
        <v>1839</v>
      </c>
      <c r="C12" s="17"/>
      <c r="D12" s="40" t="s">
        <v>87</v>
      </c>
      <c r="E12" s="40" t="s">
        <v>1840</v>
      </c>
      <c r="F12" s="40">
        <v>1.0</v>
      </c>
      <c r="G12" s="40"/>
      <c r="I12" s="39" t="s">
        <v>196</v>
      </c>
      <c r="J12" s="17"/>
      <c r="K12" s="40" t="s">
        <v>87</v>
      </c>
      <c r="L12" s="40" t="s">
        <v>523</v>
      </c>
      <c r="M12" s="40">
        <v>1.0</v>
      </c>
      <c r="N12" s="40"/>
    </row>
    <row r="13">
      <c r="B13" s="39" t="s">
        <v>1841</v>
      </c>
      <c r="C13" s="17"/>
      <c r="D13" s="40" t="s">
        <v>78</v>
      </c>
      <c r="E13" s="40" t="s">
        <v>78</v>
      </c>
      <c r="F13" s="40">
        <v>1.0</v>
      </c>
      <c r="G13" s="40"/>
      <c r="I13" s="39" t="s">
        <v>1842</v>
      </c>
      <c r="J13" s="17"/>
      <c r="K13" s="40" t="s">
        <v>87</v>
      </c>
      <c r="L13" s="40" t="s">
        <v>1843</v>
      </c>
      <c r="M13" s="40">
        <v>1.0</v>
      </c>
      <c r="N13" s="40"/>
    </row>
    <row r="14">
      <c r="B14" s="39" t="s">
        <v>555</v>
      </c>
      <c r="C14" s="17"/>
      <c r="D14" s="40" t="s">
        <v>78</v>
      </c>
      <c r="E14" s="40" t="s">
        <v>1844</v>
      </c>
      <c r="F14" s="40">
        <v>1.0</v>
      </c>
      <c r="G14" s="40"/>
      <c r="I14" s="39" t="s">
        <v>1838</v>
      </c>
      <c r="J14" s="17"/>
      <c r="K14" s="40" t="s">
        <v>87</v>
      </c>
      <c r="L14" s="40" t="s">
        <v>1229</v>
      </c>
      <c r="M14" s="40">
        <v>1.0</v>
      </c>
      <c r="N14" s="40"/>
    </row>
    <row r="15">
      <c r="B15" s="39" t="s">
        <v>199</v>
      </c>
      <c r="C15" s="17"/>
      <c r="D15" s="40" t="s">
        <v>87</v>
      </c>
      <c r="E15" s="40" t="s">
        <v>1349</v>
      </c>
      <c r="F15" s="40">
        <v>1.0</v>
      </c>
      <c r="G15" s="40"/>
      <c r="I15" s="39" t="s">
        <v>1823</v>
      </c>
      <c r="J15" s="17"/>
      <c r="K15" s="40" t="s">
        <v>87</v>
      </c>
      <c r="L15" s="40" t="s">
        <v>1845</v>
      </c>
      <c r="M15" s="40">
        <v>1.0</v>
      </c>
      <c r="N15" s="40"/>
    </row>
    <row r="16">
      <c r="B16" s="39" t="s">
        <v>1846</v>
      </c>
      <c r="C16" s="17"/>
      <c r="D16" s="40" t="s">
        <v>87</v>
      </c>
      <c r="E16" s="40" t="s">
        <v>1847</v>
      </c>
      <c r="F16" s="40">
        <v>1.0</v>
      </c>
      <c r="G16" s="40"/>
      <c r="I16" s="39" t="s">
        <v>1848</v>
      </c>
      <c r="J16" s="17"/>
      <c r="K16" s="40" t="s">
        <v>120</v>
      </c>
      <c r="L16" s="40" t="s">
        <v>1849</v>
      </c>
      <c r="M16" s="40">
        <v>1.0</v>
      </c>
      <c r="N16" s="40"/>
    </row>
    <row r="17">
      <c r="B17" s="39" t="s">
        <v>274</v>
      </c>
      <c r="C17" s="17"/>
      <c r="D17" s="40" t="s">
        <v>222</v>
      </c>
      <c r="E17" s="40">
        <v>129501.0</v>
      </c>
      <c r="F17" s="40">
        <v>1.0</v>
      </c>
      <c r="G17" s="40"/>
      <c r="I17" s="39" t="s">
        <v>472</v>
      </c>
      <c r="J17" s="17"/>
      <c r="K17" s="40" t="s">
        <v>120</v>
      </c>
      <c r="L17" s="40" t="s">
        <v>473</v>
      </c>
      <c r="M17" s="40">
        <v>1.0</v>
      </c>
      <c r="N17" s="40"/>
    </row>
    <row r="18">
      <c r="B18" s="39" t="s">
        <v>1839</v>
      </c>
      <c r="C18" s="17"/>
      <c r="D18" s="40" t="s">
        <v>78</v>
      </c>
      <c r="E18" s="40" t="s">
        <v>78</v>
      </c>
      <c r="F18" s="40">
        <v>1.0</v>
      </c>
      <c r="G18" s="40"/>
      <c r="I18" s="39" t="s">
        <v>514</v>
      </c>
      <c r="J18" s="17"/>
      <c r="K18" s="40" t="s">
        <v>120</v>
      </c>
      <c r="L18" s="40" t="s">
        <v>538</v>
      </c>
      <c r="M18" s="40">
        <v>1.0</v>
      </c>
      <c r="N18" s="40"/>
    </row>
    <row r="19">
      <c r="B19" s="39" t="s">
        <v>185</v>
      </c>
      <c r="C19" s="17"/>
      <c r="D19" s="40" t="s">
        <v>84</v>
      </c>
      <c r="E19" s="40" t="s">
        <v>78</v>
      </c>
      <c r="F19" s="40">
        <v>1.0</v>
      </c>
      <c r="G19" s="40"/>
      <c r="I19" s="39" t="s">
        <v>256</v>
      </c>
      <c r="J19" s="17"/>
      <c r="K19" s="40"/>
      <c r="L19" s="40"/>
      <c r="M19" s="40">
        <f>SUM(M6:M18)</f>
        <v>13</v>
      </c>
      <c r="N19" s="40"/>
    </row>
    <row r="20">
      <c r="B20" s="39" t="s">
        <v>558</v>
      </c>
      <c r="C20" s="17"/>
      <c r="D20" s="40" t="s">
        <v>69</v>
      </c>
      <c r="E20" s="40">
        <v>936311.0</v>
      </c>
      <c r="F20" s="40">
        <v>1.0</v>
      </c>
      <c r="G20" s="40"/>
      <c r="I20" s="4"/>
      <c r="J20" s="4"/>
      <c r="K20" s="40"/>
      <c r="L20" s="40"/>
      <c r="M20" s="40"/>
      <c r="N20" s="40"/>
    </row>
    <row r="21">
      <c r="B21" s="39" t="s">
        <v>588</v>
      </c>
      <c r="C21" s="17"/>
      <c r="D21" s="40" t="s">
        <v>78</v>
      </c>
      <c r="E21" s="40" t="s">
        <v>78</v>
      </c>
      <c r="F21" s="40">
        <v>1.0</v>
      </c>
      <c r="G21" s="40"/>
      <c r="I21" s="10"/>
      <c r="K21" s="10"/>
      <c r="L21" s="10"/>
      <c r="M21" s="10"/>
      <c r="N21" s="10"/>
    </row>
    <row r="22">
      <c r="B22" s="20" t="s">
        <v>38</v>
      </c>
      <c r="C22" s="17"/>
      <c r="D22" s="4"/>
      <c r="E22" s="4"/>
      <c r="F22" s="4">
        <f>SUM(F6:F21)</f>
        <v>17</v>
      </c>
      <c r="G22" s="4"/>
      <c r="I22" s="10"/>
    </row>
    <row r="23">
      <c r="I23" s="22"/>
    </row>
    <row r="25">
      <c r="B25" s="18" t="s">
        <v>1850</v>
      </c>
      <c r="C25" s="16"/>
      <c r="D25" s="16"/>
      <c r="E25" s="16"/>
      <c r="F25" s="16"/>
      <c r="G25" s="17"/>
      <c r="I25" s="25" t="s">
        <v>1851</v>
      </c>
      <c r="J25" s="16"/>
      <c r="K25" s="17"/>
      <c r="L25" s="4"/>
    </row>
    <row r="26">
      <c r="B26" s="18" t="s">
        <v>14</v>
      </c>
      <c r="C26" s="16"/>
      <c r="D26" s="16"/>
      <c r="E26" s="16"/>
      <c r="F26" s="16"/>
      <c r="G26" s="17"/>
      <c r="I26" s="20" t="s">
        <v>1852</v>
      </c>
      <c r="J26" s="17"/>
      <c r="K26" s="5" t="s">
        <v>1853</v>
      </c>
      <c r="L26" s="5" t="s">
        <v>18</v>
      </c>
    </row>
    <row r="27">
      <c r="B27" s="37" t="s">
        <v>60</v>
      </c>
      <c r="C27" s="17"/>
      <c r="D27" s="38" t="s">
        <v>16</v>
      </c>
      <c r="E27" s="38" t="s">
        <v>17</v>
      </c>
      <c r="F27" s="38" t="s">
        <v>18</v>
      </c>
      <c r="G27" s="38" t="s">
        <v>19</v>
      </c>
      <c r="I27" s="25" t="s">
        <v>1854</v>
      </c>
      <c r="J27" s="17"/>
      <c r="K27" s="299" t="s">
        <v>391</v>
      </c>
      <c r="L27" s="4">
        <v>1.0</v>
      </c>
    </row>
    <row r="28">
      <c r="B28" s="18"/>
      <c r="C28" s="17"/>
      <c r="D28" s="18"/>
      <c r="E28" s="16"/>
      <c r="F28" s="16"/>
      <c r="G28" s="17"/>
      <c r="I28" s="25" t="s">
        <v>1854</v>
      </c>
      <c r="J28" s="17"/>
      <c r="K28" s="299" t="s">
        <v>1855</v>
      </c>
      <c r="L28" s="4">
        <v>1.0</v>
      </c>
    </row>
    <row r="29">
      <c r="B29" s="39" t="s">
        <v>1856</v>
      </c>
      <c r="C29" s="17"/>
      <c r="D29" s="40" t="s">
        <v>120</v>
      </c>
      <c r="E29" s="40" t="s">
        <v>1857</v>
      </c>
      <c r="F29" s="40">
        <v>1.0</v>
      </c>
      <c r="G29" s="40"/>
      <c r="I29" s="25" t="s">
        <v>555</v>
      </c>
      <c r="J29" s="17"/>
      <c r="K29" s="299" t="s">
        <v>1858</v>
      </c>
      <c r="L29" s="4">
        <v>1.0</v>
      </c>
    </row>
    <row r="30">
      <c r="B30" s="39" t="s">
        <v>1859</v>
      </c>
      <c r="C30" s="17"/>
      <c r="D30" s="40" t="s">
        <v>120</v>
      </c>
      <c r="E30" s="40" t="s">
        <v>1860</v>
      </c>
      <c r="F30" s="40">
        <v>1.0</v>
      </c>
      <c r="G30" s="40"/>
    </row>
    <row r="31">
      <c r="B31" s="39" t="s">
        <v>274</v>
      </c>
      <c r="C31" s="17"/>
      <c r="D31" s="40" t="s">
        <v>222</v>
      </c>
      <c r="E31" s="45">
        <v>129501.0</v>
      </c>
      <c r="F31" s="40">
        <v>1.0</v>
      </c>
      <c r="G31" s="40"/>
    </row>
    <row r="32">
      <c r="B32" s="39" t="s">
        <v>1267</v>
      </c>
      <c r="C32" s="17"/>
      <c r="D32" s="40" t="s">
        <v>120</v>
      </c>
      <c r="E32" s="40" t="s">
        <v>121</v>
      </c>
      <c r="F32" s="40">
        <v>2.0</v>
      </c>
      <c r="G32" s="40"/>
    </row>
    <row r="33">
      <c r="B33" s="39" t="s">
        <v>74</v>
      </c>
      <c r="C33" s="17"/>
      <c r="D33" s="40" t="s">
        <v>87</v>
      </c>
      <c r="E33" s="40" t="s">
        <v>1861</v>
      </c>
      <c r="F33" s="40">
        <v>2.0</v>
      </c>
      <c r="G33" s="40"/>
    </row>
    <row r="34">
      <c r="B34" s="39" t="s">
        <v>268</v>
      </c>
      <c r="C34" s="17"/>
      <c r="D34" s="40" t="s">
        <v>87</v>
      </c>
      <c r="E34" s="40" t="s">
        <v>440</v>
      </c>
      <c r="F34" s="40">
        <v>1.0</v>
      </c>
      <c r="G34" s="40"/>
    </row>
    <row r="35">
      <c r="B35" s="39" t="s">
        <v>199</v>
      </c>
      <c r="C35" s="17"/>
      <c r="D35" s="40" t="s">
        <v>87</v>
      </c>
      <c r="E35" s="40" t="s">
        <v>1346</v>
      </c>
      <c r="F35" s="40">
        <v>3.0</v>
      </c>
      <c r="G35" s="40"/>
    </row>
    <row r="36">
      <c r="B36" s="39" t="s">
        <v>1862</v>
      </c>
      <c r="C36" s="17"/>
      <c r="D36" s="40" t="s">
        <v>87</v>
      </c>
      <c r="E36" s="40" t="s">
        <v>523</v>
      </c>
      <c r="F36" s="40">
        <v>1.0</v>
      </c>
      <c r="G36" s="40"/>
    </row>
    <row r="37">
      <c r="B37" s="39" t="s">
        <v>1252</v>
      </c>
      <c r="C37" s="17"/>
      <c r="D37" s="40" t="s">
        <v>87</v>
      </c>
      <c r="E37" s="40" t="s">
        <v>1678</v>
      </c>
      <c r="F37" s="40">
        <v>1.0</v>
      </c>
      <c r="G37" s="40"/>
    </row>
    <row r="38">
      <c r="B38" s="39" t="s">
        <v>1863</v>
      </c>
      <c r="C38" s="17"/>
      <c r="D38" s="40" t="s">
        <v>87</v>
      </c>
      <c r="E38" s="40" t="s">
        <v>1824</v>
      </c>
      <c r="F38" s="40">
        <v>1.0</v>
      </c>
      <c r="G38" s="40"/>
    </row>
    <row r="39">
      <c r="B39" s="39" t="s">
        <v>1864</v>
      </c>
      <c r="C39" s="17"/>
      <c r="D39" s="40" t="s">
        <v>87</v>
      </c>
      <c r="E39" s="40" t="s">
        <v>1865</v>
      </c>
      <c r="F39" s="40">
        <v>1.0</v>
      </c>
      <c r="G39" s="40"/>
    </row>
    <row r="40">
      <c r="B40" s="39" t="s">
        <v>1866</v>
      </c>
      <c r="C40" s="17"/>
      <c r="D40" s="40" t="s">
        <v>87</v>
      </c>
      <c r="E40" s="40" t="s">
        <v>462</v>
      </c>
      <c r="F40" s="40">
        <v>2.0</v>
      </c>
      <c r="G40" s="40"/>
    </row>
    <row r="41">
      <c r="B41" s="39" t="s">
        <v>589</v>
      </c>
      <c r="C41" s="17"/>
      <c r="D41" s="40" t="s">
        <v>120</v>
      </c>
      <c r="E41" s="40" t="s">
        <v>1867</v>
      </c>
      <c r="F41" s="40">
        <v>1.0</v>
      </c>
      <c r="G41" s="40"/>
    </row>
    <row r="42">
      <c r="B42" s="39" t="s">
        <v>1868</v>
      </c>
      <c r="C42" s="17"/>
      <c r="D42" s="40" t="s">
        <v>87</v>
      </c>
      <c r="E42" s="40" t="s">
        <v>450</v>
      </c>
      <c r="F42" s="40">
        <v>2.0</v>
      </c>
      <c r="G42" s="40"/>
    </row>
    <row r="43">
      <c r="B43" s="39" t="s">
        <v>1869</v>
      </c>
      <c r="C43" s="17"/>
      <c r="D43" s="40" t="s">
        <v>87</v>
      </c>
      <c r="E43" s="40" t="s">
        <v>512</v>
      </c>
      <c r="F43" s="40">
        <v>1.0</v>
      </c>
      <c r="G43" s="40"/>
    </row>
    <row r="44">
      <c r="B44" s="39"/>
      <c r="C44" s="17"/>
      <c r="D44" s="40"/>
      <c r="E44" s="40"/>
      <c r="F44" s="40"/>
      <c r="G44" s="40"/>
    </row>
    <row r="45">
      <c r="B45" s="20" t="s">
        <v>38</v>
      </c>
      <c r="C45" s="17"/>
      <c r="D45" s="4"/>
      <c r="E45" s="4"/>
      <c r="F45" s="4">
        <f>SUM(F29:F44)</f>
        <v>21</v>
      </c>
      <c r="G45" s="4"/>
    </row>
    <row r="47">
      <c r="B47" s="300" t="s">
        <v>1870</v>
      </c>
      <c r="C47" s="174"/>
      <c r="D47" s="174"/>
      <c r="E47" s="174"/>
      <c r="F47" s="174"/>
      <c r="G47" s="171"/>
      <c r="H47" s="301"/>
    </row>
    <row r="48">
      <c r="B48" s="302"/>
      <c r="C48" s="34"/>
      <c r="D48" s="34"/>
      <c r="E48" s="34"/>
      <c r="F48" s="34"/>
      <c r="G48" s="79"/>
    </row>
    <row r="49">
      <c r="B49" s="303" t="s">
        <v>1871</v>
      </c>
      <c r="C49" s="304" t="s">
        <v>1872</v>
      </c>
      <c r="D49" s="304" t="s">
        <v>1873</v>
      </c>
      <c r="E49" s="305" t="s">
        <v>1874</v>
      </c>
      <c r="F49" s="306" t="s">
        <v>1875</v>
      </c>
      <c r="G49" s="79"/>
      <c r="H49" s="307"/>
    </row>
    <row r="50">
      <c r="B50" s="308" t="s">
        <v>1724</v>
      </c>
      <c r="C50" s="309">
        <v>2.0</v>
      </c>
      <c r="D50" s="108" t="s">
        <v>1876</v>
      </c>
      <c r="E50" s="108"/>
      <c r="F50" s="164"/>
      <c r="G50" s="164"/>
      <c r="H50" s="310"/>
      <c r="I50" s="310"/>
    </row>
    <row r="51">
      <c r="B51" s="308" t="s">
        <v>1877</v>
      </c>
      <c r="C51" s="309">
        <v>2.0</v>
      </c>
      <c r="D51" s="108" t="s">
        <v>1878</v>
      </c>
      <c r="E51" s="108" t="s">
        <v>1879</v>
      </c>
      <c r="F51" s="164"/>
      <c r="G51" s="164"/>
      <c r="H51" s="310"/>
      <c r="I51" s="311"/>
    </row>
    <row r="52">
      <c r="B52" s="308" t="s">
        <v>1880</v>
      </c>
      <c r="C52" s="309">
        <v>4.0</v>
      </c>
      <c r="D52" s="108" t="s">
        <v>1881</v>
      </c>
      <c r="E52" s="108" t="s">
        <v>1882</v>
      </c>
      <c r="F52" s="164"/>
      <c r="G52" s="164"/>
      <c r="H52" s="310"/>
      <c r="I52" s="311"/>
    </row>
    <row r="53">
      <c r="B53" s="308" t="s">
        <v>1883</v>
      </c>
      <c r="C53" s="309">
        <v>3.0</v>
      </c>
      <c r="D53" s="108" t="s">
        <v>1876</v>
      </c>
      <c r="E53" s="108"/>
      <c r="F53" s="164"/>
      <c r="G53" s="164"/>
      <c r="H53" s="310"/>
      <c r="I53" s="311"/>
    </row>
    <row r="54">
      <c r="B54" s="308" t="s">
        <v>1151</v>
      </c>
      <c r="C54" s="309">
        <v>2.0</v>
      </c>
      <c r="D54" s="108" t="s">
        <v>1876</v>
      </c>
      <c r="E54" s="108"/>
      <c r="F54" s="164"/>
      <c r="G54" s="164"/>
      <c r="H54" s="310"/>
      <c r="I54" s="311"/>
    </row>
    <row r="55">
      <c r="B55" s="308" t="s">
        <v>1884</v>
      </c>
      <c r="C55" s="309">
        <v>2.0</v>
      </c>
      <c r="D55" s="108" t="s">
        <v>1876</v>
      </c>
      <c r="E55" s="108"/>
      <c r="F55" s="164"/>
      <c r="G55" s="164"/>
      <c r="H55" s="310"/>
      <c r="I55" s="311"/>
    </row>
    <row r="56">
      <c r="B56" s="308" t="s">
        <v>1885</v>
      </c>
      <c r="C56" s="309">
        <v>2.0</v>
      </c>
      <c r="D56" s="108" t="s">
        <v>1876</v>
      </c>
      <c r="E56" s="108"/>
      <c r="F56" s="164"/>
      <c r="G56" s="164"/>
      <c r="H56" s="310"/>
      <c r="I56" s="311"/>
    </row>
    <row r="57">
      <c r="B57" s="308" t="s">
        <v>1886</v>
      </c>
      <c r="C57" s="309">
        <v>2.0</v>
      </c>
      <c r="D57" s="108" t="s">
        <v>1876</v>
      </c>
      <c r="E57" s="108"/>
      <c r="F57" s="164"/>
      <c r="G57" s="164"/>
      <c r="H57" s="310"/>
      <c r="I57" s="311"/>
    </row>
    <row r="58">
      <c r="B58" s="308" t="s">
        <v>1887</v>
      </c>
      <c r="C58" s="309">
        <v>1.0</v>
      </c>
      <c r="D58" s="108" t="s">
        <v>1876</v>
      </c>
      <c r="E58" s="108"/>
      <c r="F58" s="164"/>
      <c r="G58" s="164"/>
      <c r="H58" s="310"/>
      <c r="I58" s="311"/>
    </row>
    <row r="59">
      <c r="B59" s="312" t="s">
        <v>1888</v>
      </c>
      <c r="C59" s="313">
        <v>1.0</v>
      </c>
      <c r="D59" s="314" t="s">
        <v>1876</v>
      </c>
      <c r="E59" s="314"/>
      <c r="F59" s="164"/>
      <c r="G59" s="164"/>
      <c r="H59" s="310"/>
      <c r="I59" s="311"/>
    </row>
    <row r="60">
      <c r="B60" s="315" t="s">
        <v>1889</v>
      </c>
      <c r="C60" s="316">
        <v>3.0</v>
      </c>
      <c r="D60" s="317" t="s">
        <v>1876</v>
      </c>
      <c r="E60" s="318"/>
      <c r="F60" s="319" t="s">
        <v>1890</v>
      </c>
      <c r="G60" s="320"/>
      <c r="H60" s="310"/>
      <c r="I60" s="311"/>
    </row>
    <row r="61">
      <c r="B61" s="321" t="s">
        <v>1891</v>
      </c>
      <c r="C61" s="322">
        <v>2.0</v>
      </c>
      <c r="D61" s="94" t="s">
        <v>1876</v>
      </c>
      <c r="E61" s="94"/>
      <c r="F61" s="164"/>
      <c r="G61" s="164"/>
      <c r="H61" s="310"/>
      <c r="I61" s="311"/>
    </row>
    <row r="62">
      <c r="B62" s="308" t="s">
        <v>1892</v>
      </c>
      <c r="C62" s="309">
        <v>4.0</v>
      </c>
      <c r="D62" s="108" t="s">
        <v>1876</v>
      </c>
      <c r="E62" s="108"/>
      <c r="F62" s="164"/>
      <c r="G62" s="164"/>
      <c r="H62" s="310"/>
      <c r="I62" s="311"/>
    </row>
    <row r="63">
      <c r="B63" s="312" t="s">
        <v>1893</v>
      </c>
      <c r="C63" s="313">
        <v>4.0</v>
      </c>
      <c r="D63" s="314" t="s">
        <v>1876</v>
      </c>
      <c r="E63" s="314"/>
      <c r="F63" s="164"/>
      <c r="G63" s="164"/>
      <c r="H63" s="310"/>
      <c r="I63" s="311"/>
    </row>
    <row r="64">
      <c r="B64" s="315" t="s">
        <v>1894</v>
      </c>
      <c r="C64" s="316">
        <v>2.0</v>
      </c>
      <c r="D64" s="317" t="s">
        <v>1876</v>
      </c>
      <c r="E64" s="318"/>
      <c r="F64" s="319" t="s">
        <v>1895</v>
      </c>
      <c r="G64" s="320"/>
      <c r="H64" s="310"/>
      <c r="I64" s="311"/>
    </row>
    <row r="65">
      <c r="B65" s="321" t="s">
        <v>1896</v>
      </c>
      <c r="C65" s="322">
        <v>1.0</v>
      </c>
      <c r="D65" s="94" t="s">
        <v>1876</v>
      </c>
      <c r="E65" s="94"/>
      <c r="F65" s="164"/>
      <c r="G65" s="164"/>
      <c r="H65" s="310"/>
      <c r="I65" s="311"/>
    </row>
    <row r="66">
      <c r="B66" s="308" t="s">
        <v>1897</v>
      </c>
      <c r="C66" s="309">
        <v>1.0</v>
      </c>
      <c r="D66" s="108" t="s">
        <v>1876</v>
      </c>
      <c r="E66" s="108"/>
      <c r="F66" s="164"/>
      <c r="G66" s="164"/>
      <c r="H66" s="310"/>
      <c r="I66" s="311"/>
    </row>
    <row r="67">
      <c r="B67" s="308" t="s">
        <v>1898</v>
      </c>
      <c r="C67" s="309">
        <v>1.0</v>
      </c>
      <c r="D67" s="108" t="s">
        <v>1876</v>
      </c>
      <c r="E67" s="108"/>
      <c r="F67" s="164"/>
      <c r="G67" s="164"/>
      <c r="H67" s="310"/>
      <c r="I67" s="311"/>
    </row>
    <row r="68">
      <c r="B68" s="308" t="s">
        <v>1899</v>
      </c>
      <c r="C68" s="309">
        <v>1.0</v>
      </c>
      <c r="D68" s="108" t="s">
        <v>1876</v>
      </c>
      <c r="E68" s="108"/>
      <c r="F68" s="164"/>
      <c r="G68" s="164"/>
      <c r="H68" s="310"/>
      <c r="I68" s="311"/>
    </row>
    <row r="69">
      <c r="B69" s="312" t="s">
        <v>1900</v>
      </c>
      <c r="C69" s="313">
        <v>1.0</v>
      </c>
      <c r="D69" s="314" t="s">
        <v>1876</v>
      </c>
      <c r="E69" s="314"/>
      <c r="F69" s="164"/>
      <c r="G69" s="164"/>
      <c r="H69" s="310"/>
      <c r="I69" s="311"/>
    </row>
    <row r="70">
      <c r="B70" s="315" t="s">
        <v>1901</v>
      </c>
      <c r="C70" s="316">
        <v>11.0</v>
      </c>
      <c r="D70" s="317" t="s">
        <v>1876</v>
      </c>
      <c r="E70" s="318"/>
      <c r="F70" s="319" t="s">
        <v>1902</v>
      </c>
      <c r="G70" s="320"/>
    </row>
    <row r="71">
      <c r="B71" s="323" t="s">
        <v>1903</v>
      </c>
      <c r="C71" s="324">
        <v>11.0</v>
      </c>
      <c r="D71" s="325" t="s">
        <v>1876</v>
      </c>
      <c r="E71" s="325"/>
      <c r="F71" s="164"/>
      <c r="G71" s="164"/>
    </row>
    <row r="72">
      <c r="B72" s="315" t="s">
        <v>1904</v>
      </c>
      <c r="C72" s="316">
        <v>0.0</v>
      </c>
      <c r="D72" s="317" t="s">
        <v>493</v>
      </c>
      <c r="E72" s="318" t="s">
        <v>1905</v>
      </c>
      <c r="F72" s="326" t="s">
        <v>1906</v>
      </c>
      <c r="G72" s="327"/>
    </row>
    <row r="73">
      <c r="B73" s="321" t="s">
        <v>1907</v>
      </c>
      <c r="C73" s="322">
        <v>1.0</v>
      </c>
      <c r="D73" s="94" t="s">
        <v>1878</v>
      </c>
      <c r="E73" s="94" t="s">
        <v>1908</v>
      </c>
      <c r="F73" s="328"/>
      <c r="G73" s="329"/>
    </row>
    <row r="74">
      <c r="B74" s="308" t="s">
        <v>1909</v>
      </c>
      <c r="C74" s="309">
        <v>1.0</v>
      </c>
      <c r="D74" s="108" t="s">
        <v>1876</v>
      </c>
      <c r="E74" s="108"/>
      <c r="F74" s="164"/>
      <c r="G74" s="164"/>
    </row>
    <row r="75">
      <c r="B75" s="308" t="s">
        <v>1910</v>
      </c>
      <c r="C75" s="309">
        <v>2.0</v>
      </c>
      <c r="D75" s="108" t="s">
        <v>1876</v>
      </c>
      <c r="E75" s="108"/>
      <c r="F75" s="164"/>
      <c r="G75" s="164"/>
    </row>
    <row r="76">
      <c r="B76" s="308" t="s">
        <v>1911</v>
      </c>
      <c r="C76" s="309">
        <v>1.0</v>
      </c>
      <c r="D76" s="108" t="s">
        <v>1876</v>
      </c>
      <c r="E76" s="108"/>
      <c r="F76" s="164"/>
      <c r="G76" s="164"/>
    </row>
    <row r="77">
      <c r="B77" s="308" t="s">
        <v>1227</v>
      </c>
      <c r="C77" s="309">
        <v>2.0</v>
      </c>
      <c r="D77" s="108" t="s">
        <v>1912</v>
      </c>
      <c r="E77" s="108" t="s">
        <v>1913</v>
      </c>
      <c r="F77" s="164"/>
      <c r="G77" s="164"/>
    </row>
    <row r="78">
      <c r="B78" s="308" t="s">
        <v>329</v>
      </c>
      <c r="C78" s="309">
        <v>1.0</v>
      </c>
      <c r="D78" s="108" t="s">
        <v>1876</v>
      </c>
      <c r="E78" s="108"/>
      <c r="F78" s="164"/>
      <c r="G78" s="164"/>
    </row>
    <row r="79">
      <c r="B79" s="308" t="s">
        <v>1914</v>
      </c>
      <c r="C79" s="309">
        <v>1.0</v>
      </c>
      <c r="D79" s="108" t="s">
        <v>1876</v>
      </c>
      <c r="E79" s="108"/>
      <c r="F79" s="164"/>
      <c r="G79" s="164"/>
    </row>
    <row r="80">
      <c r="B80" s="308" t="s">
        <v>1915</v>
      </c>
      <c r="C80" s="309">
        <v>2.0</v>
      </c>
      <c r="D80" s="108" t="s">
        <v>1876</v>
      </c>
      <c r="E80" s="108"/>
      <c r="F80" s="164"/>
      <c r="G80" s="164"/>
    </row>
    <row r="81">
      <c r="B81" s="308" t="s">
        <v>1916</v>
      </c>
      <c r="C81" s="309">
        <v>2.0</v>
      </c>
      <c r="D81" s="108" t="s">
        <v>1876</v>
      </c>
      <c r="E81" s="108"/>
      <c r="F81" s="164"/>
      <c r="G81" s="164"/>
    </row>
    <row r="82">
      <c r="B82" s="308" t="s">
        <v>1917</v>
      </c>
      <c r="C82" s="309">
        <v>1.0</v>
      </c>
      <c r="D82" s="108" t="s">
        <v>1876</v>
      </c>
      <c r="E82" s="108"/>
      <c r="F82" s="164"/>
      <c r="G82" s="164"/>
    </row>
    <row r="83">
      <c r="B83" s="308" t="s">
        <v>1918</v>
      </c>
      <c r="C83" s="309">
        <v>2.0</v>
      </c>
      <c r="D83" s="108" t="s">
        <v>1876</v>
      </c>
      <c r="E83" s="108"/>
      <c r="F83" s="164"/>
      <c r="G83" s="164"/>
    </row>
    <row r="84">
      <c r="B84" s="308" t="s">
        <v>1919</v>
      </c>
      <c r="C84" s="309">
        <v>3.0</v>
      </c>
      <c r="D84" s="108" t="s">
        <v>1876</v>
      </c>
      <c r="E84" s="108"/>
      <c r="F84" s="164"/>
      <c r="G84" s="164"/>
    </row>
    <row r="85">
      <c r="B85" s="308" t="s">
        <v>1920</v>
      </c>
      <c r="C85" s="309">
        <v>2.0</v>
      </c>
      <c r="D85" s="108" t="s">
        <v>1912</v>
      </c>
      <c r="E85" s="108" t="s">
        <v>1921</v>
      </c>
      <c r="F85" s="164"/>
      <c r="G85" s="164"/>
    </row>
    <row r="86">
      <c r="B86" s="308" t="s">
        <v>1922</v>
      </c>
      <c r="C86" s="309">
        <v>2.0</v>
      </c>
      <c r="D86" s="108" t="s">
        <v>1912</v>
      </c>
      <c r="E86" s="108" t="s">
        <v>1923</v>
      </c>
      <c r="F86" s="164"/>
      <c r="G86" s="164"/>
    </row>
    <row r="87">
      <c r="B87" s="308" t="s">
        <v>1924</v>
      </c>
      <c r="C87" s="309">
        <v>0.0</v>
      </c>
      <c r="D87" s="108" t="s">
        <v>493</v>
      </c>
      <c r="E87" s="108" t="s">
        <v>1925</v>
      </c>
      <c r="F87" s="164"/>
      <c r="G87" s="164"/>
    </row>
    <row r="88">
      <c r="B88" s="308" t="s">
        <v>1926</v>
      </c>
      <c r="C88" s="309">
        <v>2.0</v>
      </c>
      <c r="D88" s="108" t="s">
        <v>1876</v>
      </c>
      <c r="E88" s="108"/>
      <c r="F88" s="164"/>
      <c r="G88" s="164"/>
    </row>
    <row r="89">
      <c r="B89" s="308" t="s">
        <v>1927</v>
      </c>
      <c r="C89" s="309">
        <v>1.0</v>
      </c>
      <c r="D89" s="108" t="s">
        <v>1876</v>
      </c>
      <c r="E89" s="108"/>
      <c r="F89" s="164"/>
      <c r="G89" s="164"/>
    </row>
    <row r="90">
      <c r="B90" s="308" t="s">
        <v>1928</v>
      </c>
      <c r="C90" s="309">
        <v>1.0</v>
      </c>
      <c r="D90" s="108" t="s">
        <v>1876</v>
      </c>
      <c r="E90" s="108"/>
      <c r="F90" s="164"/>
      <c r="G90" s="164"/>
    </row>
    <row r="91">
      <c r="B91" s="312" t="s">
        <v>1238</v>
      </c>
      <c r="C91" s="313">
        <v>0.0</v>
      </c>
      <c r="D91" s="314" t="s">
        <v>493</v>
      </c>
      <c r="E91" s="314" t="s">
        <v>1925</v>
      </c>
      <c r="F91" s="164"/>
      <c r="G91" s="164"/>
    </row>
    <row r="92">
      <c r="B92" s="315" t="s">
        <v>1929</v>
      </c>
      <c r="C92" s="316">
        <v>2.0</v>
      </c>
      <c r="D92" s="317" t="s">
        <v>1876</v>
      </c>
      <c r="E92" s="330"/>
      <c r="F92" s="331" t="s">
        <v>1930</v>
      </c>
      <c r="G92" s="320"/>
    </row>
    <row r="93">
      <c r="B93" s="321" t="s">
        <v>1931</v>
      </c>
      <c r="C93" s="322">
        <v>2.0</v>
      </c>
      <c r="D93" s="94" t="s">
        <v>1878</v>
      </c>
      <c r="E93" s="94"/>
      <c r="F93" s="164"/>
      <c r="G93" s="164"/>
    </row>
    <row r="94">
      <c r="B94" s="308" t="s">
        <v>1932</v>
      </c>
      <c r="C94" s="309">
        <v>2.0</v>
      </c>
      <c r="D94" s="108" t="s">
        <v>1876</v>
      </c>
      <c r="E94" s="108"/>
      <c r="F94" s="164"/>
      <c r="G94" s="164"/>
    </row>
    <row r="95">
      <c r="B95" s="308" t="s">
        <v>1933</v>
      </c>
      <c r="C95" s="309">
        <v>2.0</v>
      </c>
      <c r="D95" s="108" t="s">
        <v>1876</v>
      </c>
      <c r="E95" s="108"/>
      <c r="F95" s="164"/>
      <c r="G95" s="164"/>
    </row>
    <row r="96">
      <c r="B96" s="308" t="s">
        <v>1325</v>
      </c>
      <c r="C96" s="309">
        <v>0.0</v>
      </c>
      <c r="D96" s="108" t="s">
        <v>493</v>
      </c>
      <c r="E96" s="108" t="s">
        <v>1934</v>
      </c>
      <c r="F96" s="164"/>
      <c r="G96" s="164"/>
    </row>
    <row r="97">
      <c r="B97" s="308" t="s">
        <v>1927</v>
      </c>
      <c r="C97" s="309">
        <v>2.0</v>
      </c>
      <c r="D97" s="108" t="s">
        <v>1876</v>
      </c>
      <c r="E97" s="108"/>
      <c r="F97" s="164"/>
      <c r="G97" s="164"/>
    </row>
    <row r="98">
      <c r="B98" s="308" t="s">
        <v>1935</v>
      </c>
      <c r="C98" s="309">
        <v>1.0</v>
      </c>
      <c r="D98" s="108" t="s">
        <v>1876</v>
      </c>
      <c r="E98" s="108"/>
      <c r="F98" s="164"/>
      <c r="G98" s="164"/>
    </row>
    <row r="99">
      <c r="B99" s="308" t="s">
        <v>1936</v>
      </c>
      <c r="C99" s="309">
        <v>1.0</v>
      </c>
      <c r="D99" s="108" t="s">
        <v>1876</v>
      </c>
      <c r="E99" s="108"/>
      <c r="F99" s="164"/>
      <c r="G99" s="164"/>
    </row>
    <row r="100">
      <c r="B100" s="308" t="s">
        <v>1937</v>
      </c>
      <c r="C100" s="309">
        <v>2.0</v>
      </c>
      <c r="D100" s="108" t="s">
        <v>1876</v>
      </c>
      <c r="E100" s="108"/>
      <c r="F100" s="164"/>
      <c r="G100" s="164"/>
    </row>
    <row r="101">
      <c r="B101" s="312" t="s">
        <v>1938</v>
      </c>
      <c r="C101" s="313">
        <v>1.0</v>
      </c>
      <c r="D101" s="314" t="s">
        <v>1876</v>
      </c>
      <c r="E101" s="314"/>
      <c r="F101" s="164"/>
      <c r="G101" s="164"/>
    </row>
    <row r="102">
      <c r="B102" s="315" t="s">
        <v>1939</v>
      </c>
      <c r="C102" s="316" t="s">
        <v>1940</v>
      </c>
      <c r="D102" s="317" t="s">
        <v>1876</v>
      </c>
      <c r="E102" s="318"/>
      <c r="F102" s="319" t="s">
        <v>1941</v>
      </c>
      <c r="G102" s="320"/>
    </row>
    <row r="103">
      <c r="B103" s="321" t="s">
        <v>1907</v>
      </c>
      <c r="C103" s="322">
        <v>1.0</v>
      </c>
      <c r="D103" s="94" t="s">
        <v>1878</v>
      </c>
      <c r="E103" s="94" t="s">
        <v>1942</v>
      </c>
      <c r="F103" s="164"/>
      <c r="G103" s="164"/>
    </row>
    <row r="104">
      <c r="B104" s="308" t="s">
        <v>1909</v>
      </c>
      <c r="C104" s="309">
        <v>1.0</v>
      </c>
      <c r="D104" s="108" t="s">
        <v>1876</v>
      </c>
      <c r="E104" s="108"/>
      <c r="F104" s="164"/>
      <c r="G104" s="164"/>
    </row>
    <row r="105">
      <c r="B105" s="308" t="s">
        <v>1943</v>
      </c>
      <c r="C105" s="309">
        <v>1.0</v>
      </c>
      <c r="D105" s="108" t="s">
        <v>1876</v>
      </c>
      <c r="E105" s="108"/>
      <c r="F105" s="164"/>
      <c r="G105" s="164"/>
    </row>
    <row r="106">
      <c r="B106" s="308" t="s">
        <v>1926</v>
      </c>
      <c r="C106" s="309">
        <v>2.0</v>
      </c>
      <c r="D106" s="108" t="s">
        <v>1876</v>
      </c>
      <c r="E106" s="108"/>
      <c r="F106" s="164"/>
      <c r="G106" s="164"/>
    </row>
    <row r="107">
      <c r="B107" s="308" t="s">
        <v>1944</v>
      </c>
      <c r="C107" s="309">
        <v>1.0</v>
      </c>
      <c r="D107" s="108" t="s">
        <v>1876</v>
      </c>
      <c r="E107" s="108"/>
      <c r="F107" s="164"/>
      <c r="G107" s="164"/>
    </row>
    <row r="108">
      <c r="B108" s="308" t="s">
        <v>1945</v>
      </c>
      <c r="C108" s="309">
        <v>1.0</v>
      </c>
      <c r="D108" s="108" t="s">
        <v>1876</v>
      </c>
      <c r="E108" s="108"/>
      <c r="F108" s="164"/>
      <c r="G108" s="164"/>
    </row>
    <row r="109">
      <c r="B109" s="308" t="s">
        <v>1914</v>
      </c>
      <c r="C109" s="309">
        <v>1.0</v>
      </c>
      <c r="D109" s="108" t="s">
        <v>1876</v>
      </c>
      <c r="E109" s="108"/>
      <c r="F109" s="164"/>
      <c r="G109" s="164"/>
    </row>
    <row r="110">
      <c r="B110" s="308" t="s">
        <v>1915</v>
      </c>
      <c r="C110" s="309">
        <v>1.0</v>
      </c>
      <c r="D110" s="108" t="s">
        <v>1876</v>
      </c>
      <c r="E110" s="108"/>
      <c r="F110" s="164"/>
      <c r="G110" s="164"/>
    </row>
    <row r="111">
      <c r="B111" s="308" t="s">
        <v>1916</v>
      </c>
      <c r="C111" s="309">
        <v>1.0</v>
      </c>
      <c r="D111" s="108" t="s">
        <v>1876</v>
      </c>
      <c r="E111" s="108"/>
      <c r="F111" s="164"/>
      <c r="G111" s="164"/>
    </row>
    <row r="112">
      <c r="B112" s="308" t="s">
        <v>1946</v>
      </c>
      <c r="C112" s="309">
        <v>2.0</v>
      </c>
      <c r="D112" s="108" t="s">
        <v>1876</v>
      </c>
      <c r="E112" s="108"/>
      <c r="F112" s="164"/>
      <c r="G112" s="164"/>
    </row>
    <row r="113">
      <c r="B113" s="308" t="s">
        <v>1947</v>
      </c>
      <c r="C113" s="309">
        <v>1.0</v>
      </c>
      <c r="D113" s="108" t="s">
        <v>1876</v>
      </c>
      <c r="E113" s="108"/>
      <c r="F113" s="164"/>
      <c r="G113" s="164"/>
    </row>
    <row r="114">
      <c r="B114" s="308" t="s">
        <v>1948</v>
      </c>
      <c r="C114" s="309">
        <v>1.0</v>
      </c>
      <c r="D114" s="108" t="s">
        <v>1876</v>
      </c>
      <c r="E114" s="108"/>
      <c r="F114" s="164"/>
      <c r="G114" s="164"/>
    </row>
    <row r="115">
      <c r="B115" s="308" t="s">
        <v>1918</v>
      </c>
      <c r="C115" s="309">
        <v>1.0</v>
      </c>
      <c r="D115" s="108" t="s">
        <v>1876</v>
      </c>
      <c r="E115" s="108"/>
      <c r="F115" s="164"/>
      <c r="G115" s="164"/>
    </row>
    <row r="116">
      <c r="B116" s="308" t="s">
        <v>1919</v>
      </c>
      <c r="C116" s="309">
        <v>1.0</v>
      </c>
      <c r="D116" s="108" t="s">
        <v>1876</v>
      </c>
      <c r="E116" s="108"/>
      <c r="F116" s="164"/>
      <c r="G116" s="164"/>
    </row>
    <row r="117">
      <c r="B117" s="308" t="s">
        <v>1920</v>
      </c>
      <c r="C117" s="309">
        <v>1.0</v>
      </c>
      <c r="D117" s="108" t="s">
        <v>1876</v>
      </c>
      <c r="E117" s="108"/>
      <c r="F117" s="164"/>
      <c r="G117" s="164"/>
    </row>
    <row r="118">
      <c r="B118" s="308" t="s">
        <v>1949</v>
      </c>
      <c r="C118" s="309">
        <v>1.0</v>
      </c>
      <c r="D118" s="108" t="s">
        <v>1876</v>
      </c>
      <c r="E118" s="108"/>
      <c r="F118" s="164"/>
      <c r="G118" s="164"/>
    </row>
    <row r="119">
      <c r="B119" s="308" t="s">
        <v>1950</v>
      </c>
      <c r="C119" s="309">
        <v>2.0</v>
      </c>
      <c r="D119" s="108" t="s">
        <v>1876</v>
      </c>
      <c r="E119" s="108"/>
      <c r="F119" s="164"/>
      <c r="G119" s="164"/>
    </row>
    <row r="120">
      <c r="B120" s="308" t="s">
        <v>1951</v>
      </c>
      <c r="C120" s="309">
        <v>1.0</v>
      </c>
      <c r="D120" s="108" t="s">
        <v>1876</v>
      </c>
      <c r="E120" s="108"/>
      <c r="F120" s="164"/>
      <c r="G120" s="164"/>
    </row>
    <row r="121">
      <c r="B121" s="308" t="s">
        <v>1952</v>
      </c>
      <c r="C121" s="309">
        <v>1.0</v>
      </c>
      <c r="D121" s="108" t="s">
        <v>1876</v>
      </c>
      <c r="E121" s="108"/>
      <c r="F121" s="164"/>
      <c r="G121" s="164"/>
    </row>
    <row r="122">
      <c r="B122" s="308" t="s">
        <v>1953</v>
      </c>
      <c r="C122" s="309">
        <v>1.0</v>
      </c>
      <c r="D122" s="108" t="s">
        <v>1876</v>
      </c>
      <c r="E122" s="108"/>
      <c r="F122" s="164"/>
      <c r="G122" s="164"/>
    </row>
    <row r="123">
      <c r="B123" s="308" t="s">
        <v>1954</v>
      </c>
      <c r="C123" s="309">
        <v>1.0</v>
      </c>
      <c r="D123" s="108" t="s">
        <v>1876</v>
      </c>
      <c r="E123" s="108"/>
      <c r="F123" s="164"/>
      <c r="G123" s="164"/>
    </row>
    <row r="124">
      <c r="B124" s="308" t="s">
        <v>1955</v>
      </c>
      <c r="C124" s="309">
        <v>1.0</v>
      </c>
      <c r="D124" s="108" t="s">
        <v>1876</v>
      </c>
      <c r="E124" s="108"/>
      <c r="F124" s="164"/>
      <c r="G124" s="164"/>
    </row>
    <row r="125">
      <c r="B125" s="308" t="s">
        <v>1956</v>
      </c>
      <c r="C125" s="309">
        <v>2.0</v>
      </c>
      <c r="D125" s="108" t="s">
        <v>1876</v>
      </c>
      <c r="E125" s="108"/>
      <c r="F125" s="164"/>
      <c r="G125" s="164"/>
    </row>
    <row r="126">
      <c r="B126" s="308" t="s">
        <v>1957</v>
      </c>
      <c r="C126" s="309">
        <v>1.0</v>
      </c>
      <c r="D126" s="108" t="s">
        <v>1876</v>
      </c>
      <c r="E126" s="108"/>
      <c r="F126" s="164"/>
      <c r="G126" s="164"/>
    </row>
    <row r="127">
      <c r="B127" s="308" t="s">
        <v>1958</v>
      </c>
      <c r="C127" s="309">
        <v>1.0</v>
      </c>
      <c r="D127" s="108" t="s">
        <v>1878</v>
      </c>
      <c r="E127" s="108" t="s">
        <v>1959</v>
      </c>
      <c r="F127" s="164"/>
      <c r="G127" s="164"/>
    </row>
    <row r="128">
      <c r="B128" s="332" t="s">
        <v>1960</v>
      </c>
      <c r="C128" s="333">
        <v>1.0</v>
      </c>
      <c r="D128" s="91" t="s">
        <v>1876</v>
      </c>
      <c r="E128" s="115"/>
      <c r="F128" s="334"/>
      <c r="G128" s="335"/>
    </row>
    <row r="129">
      <c r="B129" s="308" t="s">
        <v>1961</v>
      </c>
      <c r="C129" s="309">
        <v>1.0</v>
      </c>
      <c r="D129" s="108" t="s">
        <v>1876</v>
      </c>
      <c r="E129" s="108"/>
      <c r="F129" s="164"/>
      <c r="G129" s="164"/>
    </row>
    <row r="130">
      <c r="B130" s="308" t="s">
        <v>1962</v>
      </c>
      <c r="C130" s="309">
        <v>1.0</v>
      </c>
      <c r="D130" s="108" t="s">
        <v>1876</v>
      </c>
      <c r="E130" s="108"/>
      <c r="F130" s="164"/>
      <c r="G130" s="164"/>
    </row>
    <row r="131">
      <c r="B131" s="308" t="s">
        <v>1963</v>
      </c>
      <c r="C131" s="309">
        <v>2.0</v>
      </c>
      <c r="D131" s="108" t="s">
        <v>1876</v>
      </c>
      <c r="E131" s="108"/>
      <c r="F131" s="164"/>
      <c r="G131" s="164"/>
    </row>
    <row r="132">
      <c r="B132" s="308" t="s">
        <v>1964</v>
      </c>
      <c r="C132" s="309">
        <v>3.0</v>
      </c>
      <c r="D132" s="108" t="s">
        <v>1876</v>
      </c>
      <c r="E132" s="108" t="s">
        <v>1965</v>
      </c>
      <c r="F132" s="164"/>
      <c r="G132" s="164"/>
    </row>
    <row r="133">
      <c r="B133" s="336" t="s">
        <v>1966</v>
      </c>
      <c r="C133" s="337">
        <v>1.0</v>
      </c>
      <c r="D133" s="338" t="s">
        <v>1876</v>
      </c>
      <c r="E133" s="339"/>
      <c r="F133" s="319" t="s">
        <v>1967</v>
      </c>
      <c r="G133" s="320"/>
    </row>
    <row r="134">
      <c r="B134" s="308" t="s">
        <v>1968</v>
      </c>
      <c r="C134" s="309">
        <v>1.0</v>
      </c>
      <c r="D134" s="108" t="s">
        <v>1876</v>
      </c>
      <c r="E134" s="108"/>
      <c r="F134" s="164"/>
      <c r="G134" s="164"/>
    </row>
    <row r="135">
      <c r="B135" s="308" t="s">
        <v>1969</v>
      </c>
      <c r="C135" s="309">
        <v>2.0</v>
      </c>
      <c r="D135" s="108" t="s">
        <v>1912</v>
      </c>
      <c r="E135" s="108" t="s">
        <v>1970</v>
      </c>
      <c r="F135" s="164"/>
      <c r="G135" s="164"/>
    </row>
    <row r="136">
      <c r="B136" s="308" t="s">
        <v>1971</v>
      </c>
      <c r="C136" s="309">
        <v>1.0</v>
      </c>
      <c r="D136" s="108" t="s">
        <v>1876</v>
      </c>
      <c r="E136" s="108"/>
      <c r="F136" s="164"/>
      <c r="G136" s="164"/>
    </row>
    <row r="137">
      <c r="B137" s="308" t="s">
        <v>354</v>
      </c>
      <c r="C137" s="309">
        <v>1.0</v>
      </c>
      <c r="D137" s="108" t="s">
        <v>1876</v>
      </c>
      <c r="E137" s="108"/>
      <c r="F137" s="164"/>
      <c r="G137" s="164"/>
    </row>
    <row r="138">
      <c r="B138" s="308" t="s">
        <v>1972</v>
      </c>
      <c r="C138" s="309">
        <v>1.0</v>
      </c>
      <c r="D138" s="108" t="s">
        <v>1876</v>
      </c>
      <c r="E138" s="108"/>
      <c r="F138" s="164"/>
      <c r="G138" s="164"/>
    </row>
    <row r="139">
      <c r="B139" s="308" t="s">
        <v>1973</v>
      </c>
      <c r="C139" s="309">
        <v>1.0</v>
      </c>
      <c r="D139" s="108" t="s">
        <v>1876</v>
      </c>
      <c r="E139" s="108"/>
      <c r="F139" s="164"/>
      <c r="G139" s="164"/>
    </row>
    <row r="140">
      <c r="B140" s="308" t="s">
        <v>1894</v>
      </c>
      <c r="C140" s="309">
        <v>2.0</v>
      </c>
      <c r="D140" s="108" t="s">
        <v>1876</v>
      </c>
      <c r="E140" s="108"/>
      <c r="F140" s="164"/>
      <c r="G140" s="164"/>
    </row>
    <row r="141">
      <c r="B141" s="308" t="s">
        <v>1974</v>
      </c>
      <c r="C141" s="309">
        <v>1.0</v>
      </c>
      <c r="D141" s="108" t="s">
        <v>1876</v>
      </c>
      <c r="E141" s="108"/>
      <c r="F141" s="164"/>
      <c r="G141" s="164"/>
    </row>
    <row r="142">
      <c r="B142" s="308" t="s">
        <v>1975</v>
      </c>
      <c r="C142" s="309">
        <v>1.0</v>
      </c>
      <c r="D142" s="108" t="s">
        <v>1876</v>
      </c>
      <c r="E142" s="108"/>
      <c r="F142" s="164"/>
      <c r="G142" s="164"/>
    </row>
    <row r="143">
      <c r="B143" s="308" t="s">
        <v>1976</v>
      </c>
      <c r="C143" s="309">
        <v>1.0</v>
      </c>
      <c r="D143" s="108" t="s">
        <v>1876</v>
      </c>
      <c r="E143" s="108"/>
      <c r="F143" s="164"/>
      <c r="G143" s="164"/>
    </row>
    <row r="144">
      <c r="B144" s="308" t="s">
        <v>1977</v>
      </c>
      <c r="C144" s="309">
        <v>1.0</v>
      </c>
      <c r="D144" s="108" t="s">
        <v>1876</v>
      </c>
      <c r="E144" s="108"/>
      <c r="F144" s="164"/>
      <c r="G144" s="164"/>
    </row>
    <row r="145">
      <c r="B145" s="308" t="s">
        <v>1978</v>
      </c>
      <c r="C145" s="309">
        <v>1.0</v>
      </c>
      <c r="D145" s="108" t="s">
        <v>1876</v>
      </c>
      <c r="E145" s="108"/>
      <c r="F145" s="164"/>
      <c r="G145" s="164"/>
    </row>
    <row r="146">
      <c r="B146" s="308" t="s">
        <v>1979</v>
      </c>
      <c r="C146" s="309">
        <v>1.0</v>
      </c>
      <c r="D146" s="108" t="s">
        <v>1876</v>
      </c>
      <c r="E146" s="108"/>
      <c r="F146" s="164"/>
      <c r="G146" s="164"/>
    </row>
    <row r="147">
      <c r="B147" s="308" t="s">
        <v>1980</v>
      </c>
      <c r="C147" s="309">
        <v>1.0</v>
      </c>
      <c r="D147" s="108" t="s">
        <v>1876</v>
      </c>
      <c r="E147" s="108"/>
      <c r="F147" s="164"/>
      <c r="G147" s="164"/>
    </row>
    <row r="148">
      <c r="B148" s="308" t="s">
        <v>1949</v>
      </c>
      <c r="C148" s="309">
        <v>1.0</v>
      </c>
      <c r="D148" s="108" t="s">
        <v>1876</v>
      </c>
      <c r="E148" s="108"/>
      <c r="F148" s="164"/>
      <c r="G148" s="164"/>
    </row>
    <row r="149">
      <c r="B149" s="308" t="s">
        <v>1950</v>
      </c>
      <c r="C149" s="309">
        <v>2.0</v>
      </c>
      <c r="D149" s="108" t="s">
        <v>1876</v>
      </c>
      <c r="E149" s="108"/>
      <c r="F149" s="164"/>
      <c r="G149" s="164"/>
    </row>
    <row r="150">
      <c r="B150" s="308" t="s">
        <v>1951</v>
      </c>
      <c r="C150" s="309">
        <v>1.0</v>
      </c>
      <c r="D150" s="108" t="s">
        <v>1876</v>
      </c>
      <c r="E150" s="108"/>
      <c r="F150" s="164"/>
      <c r="G150" s="164"/>
    </row>
    <row r="151">
      <c r="B151" s="308" t="s">
        <v>1981</v>
      </c>
      <c r="C151" s="309">
        <v>4.0</v>
      </c>
      <c r="D151" s="108" t="s">
        <v>1876</v>
      </c>
      <c r="E151" s="108"/>
      <c r="F151" s="164"/>
      <c r="G151" s="164"/>
    </row>
    <row r="152">
      <c r="B152" s="308" t="s">
        <v>1982</v>
      </c>
      <c r="C152" s="309">
        <v>1.0</v>
      </c>
      <c r="D152" s="108" t="s">
        <v>1876</v>
      </c>
      <c r="E152" s="108"/>
      <c r="F152" s="164"/>
      <c r="G152" s="164"/>
    </row>
    <row r="153">
      <c r="B153" s="308" t="s">
        <v>1983</v>
      </c>
      <c r="C153" s="309">
        <v>2.0</v>
      </c>
      <c r="D153" s="108" t="s">
        <v>1876</v>
      </c>
      <c r="E153" s="108"/>
      <c r="F153" s="164"/>
      <c r="G153" s="164"/>
    </row>
    <row r="154">
      <c r="B154" s="308" t="s">
        <v>1984</v>
      </c>
      <c r="C154" s="309">
        <v>1.0</v>
      </c>
      <c r="D154" s="108" t="s">
        <v>1876</v>
      </c>
      <c r="E154" s="108"/>
      <c r="F154" s="164"/>
      <c r="G154" s="164"/>
    </row>
    <row r="155">
      <c r="B155" s="308" t="s">
        <v>1900</v>
      </c>
      <c r="C155" s="309">
        <v>2.0</v>
      </c>
      <c r="D155" s="108" t="s">
        <v>1876</v>
      </c>
      <c r="E155" s="108"/>
      <c r="F155" s="164"/>
      <c r="G155" s="164"/>
    </row>
    <row r="156">
      <c r="B156" s="308" t="s">
        <v>1985</v>
      </c>
      <c r="C156" s="309">
        <v>1.0</v>
      </c>
      <c r="D156" s="108" t="s">
        <v>1876</v>
      </c>
      <c r="E156" s="108"/>
      <c r="F156" s="164"/>
      <c r="G156" s="164"/>
    </row>
    <row r="157">
      <c r="B157" s="308" t="s">
        <v>1986</v>
      </c>
      <c r="C157" s="309">
        <v>1.0</v>
      </c>
      <c r="D157" s="108" t="s">
        <v>1876</v>
      </c>
      <c r="E157" s="108"/>
      <c r="F157" s="164"/>
      <c r="G157" s="164"/>
    </row>
    <row r="158">
      <c r="B158" s="308" t="s">
        <v>1987</v>
      </c>
      <c r="C158" s="309">
        <v>2.0</v>
      </c>
      <c r="D158" s="108" t="s">
        <v>1876</v>
      </c>
      <c r="E158" s="108"/>
      <c r="F158" s="164"/>
      <c r="G158" s="164"/>
    </row>
    <row r="159">
      <c r="B159" s="308" t="s">
        <v>1988</v>
      </c>
      <c r="C159" s="309">
        <v>2.0</v>
      </c>
      <c r="D159" s="108" t="s">
        <v>1876</v>
      </c>
      <c r="E159" s="108"/>
      <c r="F159" s="164"/>
      <c r="G159" s="164"/>
    </row>
    <row r="160">
      <c r="B160" s="308" t="s">
        <v>1154</v>
      </c>
      <c r="C160" s="309">
        <v>1.0</v>
      </c>
      <c r="D160" s="108" t="s">
        <v>1876</v>
      </c>
      <c r="E160" s="108"/>
      <c r="F160" s="164"/>
      <c r="G160" s="164"/>
    </row>
    <row r="161">
      <c r="B161" s="308" t="s">
        <v>1989</v>
      </c>
      <c r="C161" s="309">
        <v>1.0</v>
      </c>
      <c r="D161" s="108" t="s">
        <v>1876</v>
      </c>
      <c r="E161" s="108"/>
      <c r="F161" s="164"/>
      <c r="G161" s="164"/>
    </row>
    <row r="162">
      <c r="B162" s="308" t="s">
        <v>1990</v>
      </c>
      <c r="C162" s="309">
        <v>1.0</v>
      </c>
      <c r="D162" s="108" t="s">
        <v>1876</v>
      </c>
      <c r="E162" s="108"/>
      <c r="F162" s="164"/>
      <c r="G162" s="164"/>
    </row>
    <row r="163">
      <c r="B163" s="308" t="s">
        <v>1991</v>
      </c>
      <c r="C163" s="309">
        <v>1.0</v>
      </c>
      <c r="D163" s="108" t="s">
        <v>1876</v>
      </c>
      <c r="E163" s="108"/>
      <c r="F163" s="164"/>
      <c r="G163" s="164"/>
    </row>
    <row r="164">
      <c r="B164" s="308" t="s">
        <v>1989</v>
      </c>
      <c r="C164" s="309">
        <v>1.0</v>
      </c>
      <c r="D164" s="108" t="s">
        <v>1876</v>
      </c>
      <c r="E164" s="108"/>
      <c r="F164" s="164"/>
      <c r="G164" s="164"/>
    </row>
    <row r="165">
      <c r="B165" s="308" t="s">
        <v>1992</v>
      </c>
      <c r="C165" s="309">
        <v>1.0</v>
      </c>
      <c r="D165" s="108" t="s">
        <v>1876</v>
      </c>
      <c r="E165" s="108"/>
      <c r="F165" s="164"/>
      <c r="G165" s="164"/>
    </row>
    <row r="166">
      <c r="B166" s="308" t="s">
        <v>1993</v>
      </c>
      <c r="C166" s="309">
        <v>2.0</v>
      </c>
      <c r="D166" s="108" t="s">
        <v>1876</v>
      </c>
      <c r="E166" s="108"/>
      <c r="F166" s="164"/>
      <c r="G166" s="164"/>
    </row>
    <row r="167">
      <c r="B167" s="308" t="s">
        <v>1994</v>
      </c>
      <c r="C167" s="309">
        <v>0.0</v>
      </c>
      <c r="D167" s="108" t="s">
        <v>493</v>
      </c>
      <c r="E167" s="108" t="s">
        <v>1995</v>
      </c>
      <c r="F167" s="164"/>
      <c r="G167" s="164"/>
    </row>
  </sheetData>
  <mergeCells count="81">
    <mergeCell ref="B17:C17"/>
    <mergeCell ref="B18:C18"/>
    <mergeCell ref="B19:C19"/>
    <mergeCell ref="B20:C20"/>
    <mergeCell ref="B21:C21"/>
    <mergeCell ref="B22:C22"/>
    <mergeCell ref="B25:G25"/>
    <mergeCell ref="B26:G26"/>
    <mergeCell ref="B27:C27"/>
    <mergeCell ref="B28:C28"/>
    <mergeCell ref="D28:G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F92:G92"/>
    <mergeCell ref="F102:G102"/>
    <mergeCell ref="F128:G128"/>
    <mergeCell ref="F133:G133"/>
    <mergeCell ref="B47:G48"/>
    <mergeCell ref="F49:G49"/>
    <mergeCell ref="H49:I49"/>
    <mergeCell ref="F60:G60"/>
    <mergeCell ref="F64:G64"/>
    <mergeCell ref="F70:G70"/>
    <mergeCell ref="F72:G72"/>
    <mergeCell ref="D5:G5"/>
    <mergeCell ref="I5:N5"/>
    <mergeCell ref="I4:J4"/>
    <mergeCell ref="I6:J6"/>
    <mergeCell ref="B2:G2"/>
    <mergeCell ref="I2:N2"/>
    <mergeCell ref="B3:G3"/>
    <mergeCell ref="I3:N3"/>
    <mergeCell ref="B4:C4"/>
    <mergeCell ref="B5:C5"/>
    <mergeCell ref="B6:C6"/>
    <mergeCell ref="B7:C7"/>
    <mergeCell ref="I7:J7"/>
    <mergeCell ref="B8:C8"/>
    <mergeCell ref="I8:J8"/>
    <mergeCell ref="B9:C9"/>
    <mergeCell ref="I9:J9"/>
    <mergeCell ref="I10:J10"/>
    <mergeCell ref="B10:C10"/>
    <mergeCell ref="B11:C11"/>
    <mergeCell ref="B12:C12"/>
    <mergeCell ref="B13:C13"/>
    <mergeCell ref="B14:C14"/>
    <mergeCell ref="B15:C15"/>
    <mergeCell ref="B16:C16"/>
    <mergeCell ref="I11:J11"/>
    <mergeCell ref="I12:J12"/>
    <mergeCell ref="I13:J13"/>
    <mergeCell ref="I14:J14"/>
    <mergeCell ref="I15:J15"/>
    <mergeCell ref="I16:J16"/>
    <mergeCell ref="I17:J17"/>
    <mergeCell ref="I27:J27"/>
    <mergeCell ref="I28:J28"/>
    <mergeCell ref="I29:J29"/>
    <mergeCell ref="I18:J18"/>
    <mergeCell ref="I19:J19"/>
    <mergeCell ref="I21:J21"/>
    <mergeCell ref="I22:J22"/>
    <mergeCell ref="I23:J23"/>
    <mergeCell ref="I25:K25"/>
    <mergeCell ref="I26:J2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71"/>
    <col customWidth="1" min="7" max="7" width="17.0"/>
    <col customWidth="1" min="10" max="10" width="19.71"/>
    <col customWidth="1" min="14" max="14" width="18.0"/>
  </cols>
  <sheetData>
    <row r="1">
      <c r="B1" s="18" t="s">
        <v>58</v>
      </c>
      <c r="C1" s="16"/>
      <c r="D1" s="16"/>
      <c r="E1" s="16"/>
      <c r="F1" s="16"/>
      <c r="G1" s="17"/>
      <c r="I1" s="18" t="s">
        <v>58</v>
      </c>
      <c r="J1" s="16"/>
      <c r="K1" s="16"/>
      <c r="L1" s="16"/>
      <c r="M1" s="16"/>
      <c r="N1" s="17"/>
    </row>
    <row r="2">
      <c r="B2" s="18" t="s">
        <v>1996</v>
      </c>
      <c r="C2" s="16"/>
      <c r="D2" s="16"/>
      <c r="E2" s="16"/>
      <c r="F2" s="16"/>
      <c r="G2" s="17"/>
      <c r="I2" s="18" t="s">
        <v>1996</v>
      </c>
      <c r="J2" s="16"/>
      <c r="K2" s="16"/>
      <c r="L2" s="16"/>
      <c r="M2" s="16"/>
      <c r="N2" s="17"/>
      <c r="P2" s="340" t="s">
        <v>8</v>
      </c>
      <c r="Q2" s="16"/>
      <c r="R2" s="16"/>
      <c r="S2" s="16"/>
      <c r="T2" s="16"/>
      <c r="U2" s="16"/>
      <c r="V2" s="16"/>
      <c r="W2" s="16"/>
      <c r="X2" s="17"/>
    </row>
    <row r="3">
      <c r="B3" s="18" t="s">
        <v>60</v>
      </c>
      <c r="C3" s="17"/>
      <c r="D3" s="19" t="s">
        <v>16</v>
      </c>
      <c r="E3" s="19" t="s">
        <v>17</v>
      </c>
      <c r="F3" s="19" t="s">
        <v>18</v>
      </c>
      <c r="G3" s="19" t="s">
        <v>19</v>
      </c>
      <c r="I3" s="18" t="s">
        <v>60</v>
      </c>
      <c r="J3" s="17"/>
      <c r="K3" s="19" t="s">
        <v>16</v>
      </c>
      <c r="L3" s="19" t="s">
        <v>17</v>
      </c>
      <c r="M3" s="19" t="s">
        <v>18</v>
      </c>
      <c r="N3" s="19" t="s">
        <v>19</v>
      </c>
      <c r="P3" s="341" t="s">
        <v>1997</v>
      </c>
      <c r="Q3" s="16"/>
      <c r="R3" s="16"/>
      <c r="S3" s="16"/>
      <c r="T3" s="16"/>
      <c r="U3" s="16"/>
      <c r="V3" s="16"/>
      <c r="W3" s="16"/>
      <c r="X3" s="342"/>
    </row>
    <row r="4">
      <c r="B4" s="343" t="s">
        <v>1998</v>
      </c>
      <c r="C4" s="16"/>
      <c r="D4" s="16"/>
      <c r="E4" s="16"/>
      <c r="F4" s="16"/>
      <c r="G4" s="17"/>
      <c r="I4" s="344" t="s">
        <v>1999</v>
      </c>
      <c r="J4" s="16"/>
      <c r="K4" s="16"/>
      <c r="L4" s="16"/>
      <c r="M4" s="16"/>
      <c r="N4" s="17"/>
      <c r="P4" s="341" t="s">
        <v>2000</v>
      </c>
      <c r="Q4" s="16"/>
      <c r="R4" s="16"/>
      <c r="S4" s="16"/>
      <c r="T4" s="16"/>
      <c r="U4" s="16"/>
      <c r="V4" s="16"/>
      <c r="W4" s="16"/>
      <c r="X4" s="342"/>
    </row>
    <row r="5">
      <c r="B5" s="345" t="s">
        <v>2001</v>
      </c>
      <c r="C5" s="40"/>
      <c r="D5" s="4"/>
      <c r="E5" s="46"/>
      <c r="F5" s="4">
        <v>1.0</v>
      </c>
      <c r="G5" s="4"/>
      <c r="I5" s="346" t="s">
        <v>2002</v>
      </c>
      <c r="J5" s="17"/>
      <c r="K5" s="4"/>
      <c r="L5" s="4"/>
      <c r="M5" s="4">
        <v>1.0</v>
      </c>
      <c r="N5" s="4"/>
      <c r="P5" s="347"/>
      <c r="X5" s="348"/>
    </row>
    <row r="6">
      <c r="B6" s="349" t="s">
        <v>2003</v>
      </c>
      <c r="C6" s="17"/>
      <c r="D6" s="76"/>
      <c r="E6" s="4"/>
      <c r="F6" s="4">
        <v>1.0</v>
      </c>
      <c r="G6" s="4"/>
      <c r="I6" s="346" t="s">
        <v>2004</v>
      </c>
      <c r="J6" s="17"/>
      <c r="K6" s="4"/>
      <c r="L6" s="4"/>
      <c r="M6" s="4">
        <v>1.0</v>
      </c>
      <c r="N6" s="4"/>
      <c r="P6" s="350" t="s">
        <v>2005</v>
      </c>
      <c r="Q6" s="17"/>
      <c r="R6" s="18" t="s">
        <v>1774</v>
      </c>
      <c r="S6" s="16"/>
      <c r="T6" s="16"/>
      <c r="U6" s="16"/>
      <c r="V6" s="17"/>
      <c r="W6" s="18" t="s">
        <v>18</v>
      </c>
      <c r="X6" s="342"/>
    </row>
    <row r="7">
      <c r="B7" s="345" t="s">
        <v>2006</v>
      </c>
      <c r="C7" s="40"/>
      <c r="D7" s="4"/>
      <c r="E7" s="46"/>
      <c r="F7" s="4">
        <v>1.0</v>
      </c>
      <c r="G7" s="4"/>
      <c r="I7" s="346" t="s">
        <v>2007</v>
      </c>
      <c r="J7" s="17"/>
      <c r="K7" s="4"/>
      <c r="L7" s="4"/>
      <c r="M7" s="4">
        <v>1.0</v>
      </c>
      <c r="N7" s="4"/>
      <c r="P7" s="351" t="s">
        <v>78</v>
      </c>
      <c r="Q7" s="17"/>
      <c r="R7" s="87" t="s">
        <v>2008</v>
      </c>
      <c r="S7" s="16"/>
      <c r="T7" s="16"/>
      <c r="U7" s="16"/>
      <c r="V7" s="17"/>
      <c r="W7" s="352">
        <v>1.0</v>
      </c>
      <c r="X7" s="342"/>
    </row>
    <row r="8">
      <c r="B8" s="349" t="s">
        <v>2002</v>
      </c>
      <c r="C8" s="17"/>
      <c r="D8" s="4"/>
      <c r="E8" s="46"/>
      <c r="F8" s="4">
        <v>1.0</v>
      </c>
      <c r="G8" s="4"/>
      <c r="I8" s="346" t="s">
        <v>2009</v>
      </c>
      <c r="J8" s="17"/>
      <c r="K8" s="4"/>
      <c r="L8" s="4"/>
      <c r="M8" s="4">
        <v>1.0</v>
      </c>
      <c r="N8" s="4"/>
      <c r="P8" s="351" t="s">
        <v>325</v>
      </c>
      <c r="Q8" s="17"/>
      <c r="R8" s="87" t="s">
        <v>2010</v>
      </c>
      <c r="S8" s="16"/>
      <c r="T8" s="16"/>
      <c r="U8" s="16"/>
      <c r="V8" s="17"/>
      <c r="W8" s="352">
        <v>1.0</v>
      </c>
      <c r="X8" s="342"/>
    </row>
    <row r="9">
      <c r="B9" s="349" t="s">
        <v>2011</v>
      </c>
      <c r="C9" s="17"/>
      <c r="D9" s="4"/>
      <c r="E9" s="4"/>
      <c r="F9" s="4">
        <v>1.0</v>
      </c>
      <c r="G9" s="4"/>
      <c r="I9" s="353" t="s">
        <v>2012</v>
      </c>
      <c r="J9" s="17"/>
      <c r="K9" s="4"/>
      <c r="L9" s="4"/>
      <c r="M9" s="4">
        <v>1.0</v>
      </c>
      <c r="N9" s="4"/>
      <c r="P9" s="351" t="s">
        <v>2013</v>
      </c>
      <c r="Q9" s="17"/>
      <c r="R9" s="87" t="s">
        <v>2014</v>
      </c>
      <c r="S9" s="16"/>
      <c r="T9" s="16"/>
      <c r="U9" s="16"/>
      <c r="V9" s="17"/>
      <c r="W9" s="352">
        <v>1.0</v>
      </c>
      <c r="X9" s="342"/>
    </row>
    <row r="10">
      <c r="B10" s="345" t="s">
        <v>2015</v>
      </c>
      <c r="C10" s="40"/>
      <c r="D10" s="4"/>
      <c r="E10" s="4"/>
      <c r="F10" s="4">
        <v>1.0</v>
      </c>
      <c r="G10" s="4"/>
      <c r="I10" s="353" t="s">
        <v>2016</v>
      </c>
      <c r="J10" s="17"/>
      <c r="K10" s="4"/>
      <c r="L10" s="4"/>
      <c r="M10" s="4">
        <v>1.0</v>
      </c>
      <c r="N10" s="4"/>
      <c r="P10" s="351" t="s">
        <v>2017</v>
      </c>
      <c r="Q10" s="17"/>
      <c r="R10" s="87" t="s">
        <v>2014</v>
      </c>
      <c r="S10" s="16"/>
      <c r="T10" s="16"/>
      <c r="U10" s="16"/>
      <c r="V10" s="17"/>
      <c r="W10" s="352">
        <v>1.0</v>
      </c>
      <c r="X10" s="342"/>
    </row>
    <row r="11">
      <c r="B11" s="349" t="s">
        <v>2018</v>
      </c>
      <c r="C11" s="17"/>
      <c r="D11" s="4"/>
      <c r="E11" s="4"/>
      <c r="F11" s="4">
        <v>1.0</v>
      </c>
      <c r="G11" s="4"/>
      <c r="I11" s="353" t="s">
        <v>2019</v>
      </c>
      <c r="J11" s="17"/>
      <c r="K11" s="4"/>
      <c r="L11" s="4"/>
      <c r="M11" s="4">
        <v>1.0</v>
      </c>
      <c r="N11" s="4"/>
      <c r="P11" s="179" t="s">
        <v>84</v>
      </c>
      <c r="Q11" s="354"/>
      <c r="R11" s="351" t="s">
        <v>2020</v>
      </c>
      <c r="S11" s="16"/>
      <c r="T11" s="16"/>
      <c r="U11" s="16"/>
      <c r="V11" s="17"/>
      <c r="W11" s="352">
        <v>1.0</v>
      </c>
      <c r="X11" s="342"/>
    </row>
    <row r="12">
      <c r="B12" s="349" t="s">
        <v>2021</v>
      </c>
      <c r="C12" s="17"/>
      <c r="D12" s="4"/>
      <c r="E12" s="4"/>
      <c r="F12" s="4">
        <v>1.0</v>
      </c>
      <c r="G12" s="4"/>
      <c r="I12" s="353" t="s">
        <v>2006</v>
      </c>
      <c r="J12" s="17"/>
      <c r="K12" s="4"/>
      <c r="L12" s="4"/>
      <c r="M12" s="4">
        <v>1.0</v>
      </c>
      <c r="N12" s="4"/>
      <c r="P12" s="351" t="s">
        <v>78</v>
      </c>
      <c r="Q12" s="17"/>
      <c r="R12" s="87" t="s">
        <v>2022</v>
      </c>
      <c r="S12" s="16"/>
      <c r="T12" s="16"/>
      <c r="U12" s="16"/>
      <c r="V12" s="17"/>
      <c r="W12" s="352">
        <v>1.0</v>
      </c>
      <c r="X12" s="342"/>
    </row>
    <row r="13">
      <c r="B13" s="349" t="s">
        <v>38</v>
      </c>
      <c r="C13" s="17"/>
      <c r="D13" s="4"/>
      <c r="E13" s="4"/>
      <c r="F13" s="4">
        <f>SUM(F5:F12)</f>
        <v>8</v>
      </c>
      <c r="G13" s="4"/>
      <c r="I13" s="353" t="s">
        <v>2023</v>
      </c>
      <c r="J13" s="17"/>
      <c r="K13" s="4"/>
      <c r="L13" s="4"/>
      <c r="M13" s="4">
        <v>1.0</v>
      </c>
      <c r="N13" s="4"/>
      <c r="P13" s="351"/>
      <c r="Q13" s="17"/>
      <c r="R13" s="87"/>
      <c r="S13" s="16"/>
      <c r="T13" s="16"/>
      <c r="U13" s="16"/>
      <c r="V13" s="17"/>
      <c r="W13" s="87"/>
      <c r="X13" s="342"/>
    </row>
    <row r="14">
      <c r="B14" s="355"/>
      <c r="I14" s="353" t="s">
        <v>2024</v>
      </c>
      <c r="J14" s="17"/>
      <c r="K14" s="4"/>
      <c r="L14" s="4"/>
      <c r="M14" s="4">
        <v>1.0</v>
      </c>
      <c r="N14" s="4"/>
      <c r="P14" s="351" t="s">
        <v>2025</v>
      </c>
      <c r="Q14" s="17"/>
      <c r="R14" s="87" t="s">
        <v>2026</v>
      </c>
      <c r="S14" s="16"/>
      <c r="T14" s="16"/>
      <c r="U14" s="16"/>
      <c r="V14" s="17"/>
      <c r="W14" s="352">
        <v>2.0</v>
      </c>
      <c r="X14" s="342"/>
    </row>
    <row r="15">
      <c r="B15" s="18" t="s">
        <v>58</v>
      </c>
      <c r="C15" s="16"/>
      <c r="D15" s="16"/>
      <c r="E15" s="16"/>
      <c r="F15" s="16"/>
      <c r="G15" s="17"/>
      <c r="I15" s="346" t="s">
        <v>2027</v>
      </c>
      <c r="J15" s="17"/>
      <c r="K15" s="4"/>
      <c r="L15" s="4"/>
      <c r="M15" s="4">
        <v>1.0</v>
      </c>
      <c r="N15" s="4"/>
      <c r="P15" s="351"/>
      <c r="Q15" s="17"/>
      <c r="R15" s="87"/>
      <c r="S15" s="16"/>
      <c r="T15" s="16"/>
      <c r="U15" s="16"/>
      <c r="V15" s="17"/>
      <c r="W15" s="87"/>
      <c r="X15" s="342"/>
    </row>
    <row r="16">
      <c r="B16" s="18" t="s">
        <v>1996</v>
      </c>
      <c r="C16" s="16"/>
      <c r="D16" s="16"/>
      <c r="E16" s="16"/>
      <c r="F16" s="16"/>
      <c r="G16" s="17"/>
      <c r="I16" s="346" t="s">
        <v>2028</v>
      </c>
      <c r="J16" s="17"/>
      <c r="K16" s="4"/>
      <c r="L16" s="4"/>
      <c r="M16" s="4">
        <v>1.0</v>
      </c>
      <c r="N16" s="4"/>
    </row>
    <row r="17">
      <c r="B17" s="18" t="s">
        <v>60</v>
      </c>
      <c r="C17" s="17"/>
      <c r="D17" s="19" t="s">
        <v>16</v>
      </c>
      <c r="E17" s="19" t="s">
        <v>17</v>
      </c>
      <c r="F17" s="19" t="s">
        <v>18</v>
      </c>
      <c r="G17" s="19" t="s">
        <v>19</v>
      </c>
      <c r="I17" s="349" t="s">
        <v>38</v>
      </c>
      <c r="J17" s="17"/>
      <c r="K17" s="40"/>
      <c r="L17" s="40"/>
      <c r="M17" s="40">
        <f>SUM(M5:M16)</f>
        <v>12</v>
      </c>
      <c r="N17" s="40"/>
      <c r="P17" s="18" t="s">
        <v>58</v>
      </c>
      <c r="Q17" s="16"/>
      <c r="R17" s="16"/>
      <c r="S17" s="16"/>
      <c r="T17" s="16"/>
      <c r="U17" s="17"/>
    </row>
    <row r="18">
      <c r="B18" s="356" t="s">
        <v>2029</v>
      </c>
      <c r="C18" s="16"/>
      <c r="D18" s="16"/>
      <c r="E18" s="16"/>
      <c r="F18" s="16"/>
      <c r="G18" s="17"/>
      <c r="I18" s="357"/>
      <c r="M18" s="24"/>
      <c r="P18" s="18" t="s">
        <v>1996</v>
      </c>
      <c r="Q18" s="16"/>
      <c r="R18" s="16"/>
      <c r="S18" s="16"/>
      <c r="T18" s="16"/>
      <c r="U18" s="17"/>
    </row>
    <row r="19">
      <c r="B19" s="358" t="s">
        <v>2030</v>
      </c>
      <c r="C19" s="40"/>
      <c r="D19" s="40"/>
      <c r="E19" s="45"/>
      <c r="F19" s="40">
        <v>1.0</v>
      </c>
      <c r="G19" s="40"/>
      <c r="I19" s="357"/>
      <c r="J19" s="357"/>
      <c r="K19" s="357"/>
      <c r="L19" s="357"/>
      <c r="M19" s="357"/>
      <c r="N19" s="357"/>
      <c r="P19" s="18" t="s">
        <v>60</v>
      </c>
      <c r="Q19" s="17"/>
      <c r="R19" s="19" t="s">
        <v>16</v>
      </c>
      <c r="S19" s="19" t="s">
        <v>17</v>
      </c>
      <c r="T19" s="19" t="s">
        <v>18</v>
      </c>
      <c r="U19" s="19" t="s">
        <v>19</v>
      </c>
    </row>
    <row r="20">
      <c r="B20" s="346" t="s">
        <v>2003</v>
      </c>
      <c r="C20" s="17"/>
      <c r="D20" s="40"/>
      <c r="E20" s="40"/>
      <c r="F20" s="40">
        <v>1.0</v>
      </c>
      <c r="G20" s="40"/>
      <c r="I20" s="18" t="s">
        <v>58</v>
      </c>
      <c r="J20" s="16"/>
      <c r="K20" s="16"/>
      <c r="L20" s="16"/>
      <c r="M20" s="16"/>
      <c r="N20" s="17"/>
      <c r="P20" s="343"/>
      <c r="Q20" s="16"/>
      <c r="R20" s="16"/>
      <c r="S20" s="16"/>
      <c r="T20" s="16"/>
      <c r="U20" s="17"/>
    </row>
    <row r="21">
      <c r="B21" s="358" t="s">
        <v>2031</v>
      </c>
      <c r="C21" s="40"/>
      <c r="D21" s="40"/>
      <c r="E21" s="45"/>
      <c r="F21" s="40">
        <v>1.0</v>
      </c>
      <c r="G21" s="40"/>
      <c r="I21" s="18" t="s">
        <v>1996</v>
      </c>
      <c r="J21" s="16"/>
      <c r="K21" s="16"/>
      <c r="L21" s="16"/>
      <c r="M21" s="16"/>
      <c r="N21" s="17"/>
      <c r="P21" s="283" t="s">
        <v>2032</v>
      </c>
      <c r="Q21" s="17"/>
      <c r="R21" s="4"/>
      <c r="S21" s="4"/>
      <c r="T21" s="4"/>
      <c r="U21" s="4"/>
    </row>
    <row r="22">
      <c r="B22" s="346" t="s">
        <v>2033</v>
      </c>
      <c r="C22" s="17"/>
      <c r="D22" s="40"/>
      <c r="E22" s="45"/>
      <c r="F22" s="40">
        <v>2.0</v>
      </c>
      <c r="G22" s="40"/>
      <c r="I22" s="18" t="s">
        <v>60</v>
      </c>
      <c r="J22" s="17"/>
      <c r="K22" s="19" t="s">
        <v>16</v>
      </c>
      <c r="L22" s="19" t="s">
        <v>17</v>
      </c>
      <c r="M22" s="19" t="s">
        <v>18</v>
      </c>
      <c r="N22" s="19" t="s">
        <v>19</v>
      </c>
      <c r="P22" s="25" t="s">
        <v>199</v>
      </c>
      <c r="Q22" s="17"/>
      <c r="R22" s="4" t="s">
        <v>168</v>
      </c>
      <c r="S22" s="4" t="s">
        <v>2034</v>
      </c>
      <c r="T22" s="4">
        <v>1.0</v>
      </c>
      <c r="U22" s="4"/>
    </row>
    <row r="23">
      <c r="B23" s="346" t="s">
        <v>2021</v>
      </c>
      <c r="C23" s="17"/>
      <c r="D23" s="40"/>
      <c r="E23" s="40"/>
      <c r="F23" s="40">
        <v>1.0</v>
      </c>
      <c r="G23" s="40"/>
      <c r="I23" s="359" t="s">
        <v>2035</v>
      </c>
      <c r="J23" s="34"/>
      <c r="K23" s="34"/>
      <c r="L23" s="34"/>
      <c r="M23" s="34"/>
      <c r="N23" s="79"/>
      <c r="P23" s="25" t="s">
        <v>173</v>
      </c>
      <c r="Q23" s="17"/>
      <c r="R23" s="4" t="s">
        <v>168</v>
      </c>
      <c r="S23" s="4" t="s">
        <v>1821</v>
      </c>
      <c r="T23" s="4">
        <v>1.0</v>
      </c>
      <c r="U23" s="4"/>
    </row>
    <row r="24">
      <c r="B24" s="346" t="s">
        <v>2018</v>
      </c>
      <c r="C24" s="17"/>
      <c r="D24" s="40"/>
      <c r="E24" s="40"/>
      <c r="F24" s="40">
        <v>1.0</v>
      </c>
      <c r="G24" s="40"/>
      <c r="I24" s="360" t="s">
        <v>2036</v>
      </c>
      <c r="J24" s="358"/>
      <c r="K24" s="40"/>
      <c r="L24" s="45"/>
      <c r="M24" s="40">
        <v>2.0</v>
      </c>
      <c r="N24" s="40"/>
      <c r="P24" s="25" t="s">
        <v>157</v>
      </c>
      <c r="Q24" s="17"/>
      <c r="R24" s="4" t="s">
        <v>120</v>
      </c>
      <c r="S24" s="4" t="s">
        <v>2037</v>
      </c>
      <c r="T24" s="4">
        <v>1.0</v>
      </c>
      <c r="U24" s="4"/>
    </row>
    <row r="25">
      <c r="B25" s="360" t="s">
        <v>2015</v>
      </c>
      <c r="C25" s="345"/>
      <c r="D25" s="40"/>
      <c r="E25" s="40"/>
      <c r="F25" s="40">
        <v>1.0</v>
      </c>
      <c r="G25" s="40"/>
      <c r="I25" s="360" t="s">
        <v>2038</v>
      </c>
      <c r="J25" s="360"/>
      <c r="K25" s="40"/>
      <c r="L25" s="40"/>
      <c r="M25" s="40">
        <v>1.0</v>
      </c>
      <c r="N25" s="40"/>
      <c r="P25" s="25"/>
      <c r="Q25" s="17"/>
      <c r="R25" s="4"/>
      <c r="S25" s="4"/>
      <c r="T25" s="4"/>
      <c r="U25" s="4"/>
    </row>
    <row r="26">
      <c r="B26" s="39" t="s">
        <v>2039</v>
      </c>
      <c r="C26" s="17"/>
      <c r="D26" s="40"/>
      <c r="E26" s="40"/>
      <c r="F26" s="40">
        <v>1.0</v>
      </c>
      <c r="G26" s="40"/>
      <c r="I26" s="360" t="s">
        <v>2040</v>
      </c>
      <c r="J26" s="358"/>
      <c r="K26" s="40"/>
      <c r="L26" s="45"/>
      <c r="M26" s="40">
        <v>1.0</v>
      </c>
      <c r="N26" s="40"/>
      <c r="P26" s="25" t="s">
        <v>38</v>
      </c>
      <c r="Q26" s="17"/>
      <c r="R26" s="4"/>
      <c r="S26" s="4"/>
      <c r="T26" s="4">
        <f>SUM(T22:T25)</f>
        <v>3</v>
      </c>
      <c r="U26" s="4"/>
    </row>
    <row r="27">
      <c r="B27" s="349" t="s">
        <v>38</v>
      </c>
      <c r="C27" s="17"/>
      <c r="D27" s="40"/>
      <c r="E27" s="40"/>
      <c r="F27" s="40">
        <f>SUM(F19:F26)</f>
        <v>9</v>
      </c>
      <c r="G27" s="40"/>
      <c r="I27" s="360" t="s">
        <v>2041</v>
      </c>
      <c r="J27" s="360"/>
      <c r="K27" s="40"/>
      <c r="L27" s="45"/>
      <c r="M27" s="40">
        <v>1.0</v>
      </c>
      <c r="N27" s="40"/>
      <c r="P27" s="20" t="s">
        <v>2042</v>
      </c>
      <c r="Q27" s="17"/>
    </row>
    <row r="28">
      <c r="I28" s="361" t="s">
        <v>2043</v>
      </c>
      <c r="J28" s="17"/>
      <c r="K28" s="40"/>
      <c r="L28" s="40"/>
      <c r="M28" s="40">
        <v>1.0</v>
      </c>
      <c r="N28" s="40" t="s">
        <v>2044</v>
      </c>
    </row>
    <row r="29">
      <c r="B29" s="18" t="s">
        <v>58</v>
      </c>
      <c r="C29" s="16"/>
      <c r="D29" s="16"/>
      <c r="E29" s="16"/>
      <c r="F29" s="16"/>
      <c r="G29" s="17"/>
      <c r="I29" s="346" t="s">
        <v>38</v>
      </c>
      <c r="J29" s="17"/>
      <c r="K29" s="40"/>
      <c r="L29" s="40"/>
      <c r="M29" s="40">
        <f>SUM(M24:M28)</f>
        <v>6</v>
      </c>
      <c r="N29" s="40"/>
    </row>
    <row r="30">
      <c r="B30" s="18" t="s">
        <v>1996</v>
      </c>
      <c r="C30" s="16"/>
      <c r="D30" s="16"/>
      <c r="E30" s="16"/>
      <c r="F30" s="16"/>
      <c r="G30" s="17"/>
      <c r="I30" s="357"/>
    </row>
    <row r="31">
      <c r="B31" s="18" t="s">
        <v>60</v>
      </c>
      <c r="C31" s="17"/>
      <c r="D31" s="19" t="s">
        <v>16</v>
      </c>
      <c r="E31" s="19" t="s">
        <v>17</v>
      </c>
      <c r="F31" s="19" t="s">
        <v>18</v>
      </c>
      <c r="G31" s="19" t="s">
        <v>19</v>
      </c>
    </row>
    <row r="32">
      <c r="B32" s="356" t="s">
        <v>2045</v>
      </c>
      <c r="C32" s="16"/>
      <c r="D32" s="16"/>
      <c r="E32" s="16"/>
      <c r="F32" s="16"/>
      <c r="G32" s="17"/>
      <c r="I32" s="18" t="s">
        <v>58</v>
      </c>
      <c r="J32" s="16"/>
      <c r="K32" s="16"/>
      <c r="L32" s="16"/>
      <c r="M32" s="16"/>
      <c r="N32" s="17"/>
    </row>
    <row r="33">
      <c r="B33" s="346" t="s">
        <v>2021</v>
      </c>
      <c r="C33" s="17"/>
      <c r="D33" s="40"/>
      <c r="E33" s="45"/>
      <c r="F33" s="40">
        <v>1.0</v>
      </c>
      <c r="G33" s="40"/>
      <c r="I33" s="18" t="s">
        <v>14</v>
      </c>
      <c r="J33" s="16"/>
      <c r="K33" s="16"/>
      <c r="L33" s="16"/>
      <c r="M33" s="16"/>
      <c r="N33" s="17"/>
    </row>
    <row r="34">
      <c r="B34" s="360" t="s">
        <v>2046</v>
      </c>
      <c r="C34" s="360"/>
      <c r="D34" s="267"/>
      <c r="E34" s="40"/>
      <c r="F34" s="40">
        <v>1.0</v>
      </c>
      <c r="G34" s="40"/>
      <c r="I34" s="18" t="s">
        <v>60</v>
      </c>
      <c r="J34" s="17"/>
      <c r="K34" s="19" t="s">
        <v>16</v>
      </c>
      <c r="L34" s="19" t="s">
        <v>17</v>
      </c>
      <c r="M34" s="19" t="s">
        <v>18</v>
      </c>
      <c r="N34" s="19" t="s">
        <v>19</v>
      </c>
    </row>
    <row r="35">
      <c r="B35" s="362" t="s">
        <v>2047</v>
      </c>
      <c r="C35" s="40"/>
      <c r="D35" s="40"/>
      <c r="E35" s="45"/>
      <c r="F35" s="40">
        <v>1.0</v>
      </c>
      <c r="G35" s="40"/>
      <c r="I35" s="18" t="s">
        <v>2048</v>
      </c>
      <c r="J35" s="17"/>
      <c r="K35" s="25"/>
      <c r="L35" s="16"/>
      <c r="M35" s="16"/>
      <c r="N35" s="17"/>
    </row>
    <row r="36">
      <c r="B36" s="362" t="s">
        <v>2049</v>
      </c>
      <c r="C36" s="360"/>
      <c r="D36" s="40"/>
      <c r="E36" s="45"/>
      <c r="F36" s="40">
        <v>1.0</v>
      </c>
      <c r="G36" s="40"/>
      <c r="I36" s="39" t="s">
        <v>1666</v>
      </c>
      <c r="J36" s="17"/>
      <c r="K36" s="4"/>
      <c r="L36" s="4"/>
      <c r="M36" s="4">
        <v>1.0</v>
      </c>
      <c r="N36" s="4"/>
    </row>
    <row r="37">
      <c r="B37" s="360" t="s">
        <v>2050</v>
      </c>
      <c r="C37" s="360"/>
      <c r="D37" s="40"/>
      <c r="E37" s="40"/>
      <c r="F37" s="40">
        <v>1.0</v>
      </c>
      <c r="G37" s="40"/>
      <c r="I37" s="39" t="s">
        <v>2051</v>
      </c>
      <c r="J37" s="17"/>
      <c r="K37" s="4"/>
      <c r="L37" s="4"/>
      <c r="M37" s="4">
        <v>1.0</v>
      </c>
      <c r="N37" s="4"/>
    </row>
    <row r="38">
      <c r="B38" s="360" t="s">
        <v>2052</v>
      </c>
      <c r="C38" s="360"/>
      <c r="D38" s="40"/>
      <c r="E38" s="40"/>
      <c r="F38" s="40">
        <v>1.0</v>
      </c>
      <c r="G38" s="40"/>
      <c r="I38" s="39"/>
      <c r="J38" s="17"/>
      <c r="K38" s="4"/>
      <c r="L38" s="4"/>
      <c r="M38" s="4"/>
      <c r="N38" s="4"/>
    </row>
    <row r="39">
      <c r="B39" s="362" t="s">
        <v>2053</v>
      </c>
      <c r="C39" s="345"/>
      <c r="D39" s="40"/>
      <c r="E39" s="40"/>
      <c r="F39" s="40">
        <v>1.0</v>
      </c>
      <c r="G39" s="40"/>
      <c r="I39" s="39" t="s">
        <v>38</v>
      </c>
      <c r="J39" s="17"/>
      <c r="K39" s="4"/>
      <c r="L39" s="47"/>
      <c r="M39" s="4">
        <f>SUM(M36:M38)</f>
        <v>2</v>
      </c>
      <c r="N39" s="4"/>
    </row>
    <row r="40">
      <c r="B40" s="362" t="s">
        <v>2054</v>
      </c>
      <c r="C40" s="40"/>
      <c r="D40" s="40"/>
      <c r="E40" s="40"/>
      <c r="F40" s="40">
        <v>1.0</v>
      </c>
      <c r="G40" s="40"/>
      <c r="N40" s="252"/>
    </row>
    <row r="41">
      <c r="B41" s="349" t="s">
        <v>38</v>
      </c>
      <c r="C41" s="17"/>
      <c r="D41" s="40"/>
      <c r="E41" s="40"/>
      <c r="F41" s="40">
        <f>SUM(F33:F40)</f>
        <v>8</v>
      </c>
      <c r="G41" s="40"/>
      <c r="I41" s="14"/>
      <c r="K41" s="8"/>
    </row>
    <row r="44">
      <c r="B44" s="18" t="s">
        <v>58</v>
      </c>
      <c r="C44" s="16"/>
      <c r="D44" s="16"/>
      <c r="E44" s="16"/>
      <c r="F44" s="16"/>
      <c r="G44" s="17"/>
      <c r="I44" s="18" t="s">
        <v>58</v>
      </c>
      <c r="J44" s="16"/>
      <c r="K44" s="16"/>
      <c r="L44" s="16"/>
      <c r="M44" s="16"/>
      <c r="N44" s="17"/>
    </row>
    <row r="45">
      <c r="B45" s="18" t="s">
        <v>1996</v>
      </c>
      <c r="C45" s="16"/>
      <c r="D45" s="16"/>
      <c r="E45" s="16"/>
      <c r="F45" s="16"/>
      <c r="G45" s="17"/>
      <c r="I45" s="18" t="s">
        <v>1996</v>
      </c>
      <c r="J45" s="16"/>
      <c r="K45" s="16"/>
      <c r="L45" s="16"/>
      <c r="M45" s="16"/>
      <c r="N45" s="17"/>
    </row>
    <row r="46">
      <c r="B46" s="18" t="s">
        <v>60</v>
      </c>
      <c r="C46" s="17"/>
      <c r="D46" s="19" t="s">
        <v>16</v>
      </c>
      <c r="E46" s="19" t="s">
        <v>17</v>
      </c>
      <c r="F46" s="19" t="s">
        <v>18</v>
      </c>
      <c r="G46" s="19" t="s">
        <v>19</v>
      </c>
      <c r="I46" s="363" t="s">
        <v>60</v>
      </c>
      <c r="J46" s="171"/>
      <c r="K46" s="364" t="s">
        <v>16</v>
      </c>
      <c r="L46" s="364" t="s">
        <v>17</v>
      </c>
      <c r="M46" s="364" t="s">
        <v>18</v>
      </c>
      <c r="N46" s="364" t="s">
        <v>19</v>
      </c>
    </row>
    <row r="47">
      <c r="B47" s="359" t="s">
        <v>2055</v>
      </c>
      <c r="C47" s="34"/>
      <c r="D47" s="34"/>
      <c r="E47" s="34"/>
      <c r="F47" s="34"/>
      <c r="G47" s="79"/>
      <c r="I47" s="356" t="s">
        <v>2056</v>
      </c>
      <c r="J47" s="16"/>
      <c r="K47" s="16"/>
      <c r="L47" s="16"/>
      <c r="M47" s="16"/>
      <c r="N47" s="17"/>
    </row>
    <row r="48">
      <c r="B48" s="346" t="s">
        <v>2002</v>
      </c>
      <c r="C48" s="17"/>
      <c r="D48" s="4"/>
      <c r="E48" s="4"/>
      <c r="F48" s="4">
        <v>1.0</v>
      </c>
      <c r="G48" s="4"/>
      <c r="I48" s="346" t="s">
        <v>2057</v>
      </c>
      <c r="J48" s="17"/>
      <c r="K48" s="40"/>
      <c r="L48" s="4"/>
      <c r="M48" s="4">
        <v>2.0</v>
      </c>
      <c r="N48" s="4"/>
    </row>
    <row r="49">
      <c r="B49" s="346" t="s">
        <v>2058</v>
      </c>
      <c r="C49" s="17"/>
      <c r="D49" s="4"/>
      <c r="E49" s="4"/>
      <c r="F49" s="4">
        <v>1.0</v>
      </c>
      <c r="G49" s="4"/>
      <c r="I49" s="346" t="s">
        <v>2059</v>
      </c>
      <c r="J49" s="17"/>
      <c r="K49" s="40"/>
      <c r="L49" s="4"/>
      <c r="M49" s="4">
        <v>1.0</v>
      </c>
      <c r="N49" s="4"/>
    </row>
    <row r="50">
      <c r="B50" s="362" t="s">
        <v>2060</v>
      </c>
      <c r="C50" s="40"/>
      <c r="D50" s="4"/>
      <c r="E50" s="4"/>
      <c r="F50" s="4">
        <v>1.0</v>
      </c>
      <c r="G50" s="4"/>
      <c r="I50" s="346" t="s">
        <v>2061</v>
      </c>
      <c r="J50" s="17"/>
      <c r="K50" s="40"/>
      <c r="L50" s="4"/>
      <c r="M50" s="4">
        <v>3.0</v>
      </c>
      <c r="N50" s="4"/>
    </row>
    <row r="51">
      <c r="B51" s="362" t="s">
        <v>2062</v>
      </c>
      <c r="C51" s="40"/>
      <c r="D51" s="4"/>
      <c r="E51" s="4"/>
      <c r="F51" s="4">
        <v>1.0</v>
      </c>
      <c r="G51" s="4"/>
      <c r="I51" s="346" t="s">
        <v>2063</v>
      </c>
      <c r="J51" s="17"/>
      <c r="K51" s="40"/>
      <c r="L51" s="4"/>
      <c r="M51" s="4">
        <v>2.0</v>
      </c>
      <c r="N51" s="4"/>
    </row>
    <row r="52">
      <c r="B52" s="360" t="s">
        <v>2064</v>
      </c>
      <c r="C52" s="40"/>
      <c r="D52" s="4"/>
      <c r="E52" s="4"/>
      <c r="F52" s="4">
        <v>1.0</v>
      </c>
      <c r="G52" s="4"/>
      <c r="I52" s="346" t="s">
        <v>2065</v>
      </c>
      <c r="J52" s="17"/>
      <c r="K52" s="40"/>
      <c r="L52" s="4"/>
      <c r="M52" s="4">
        <v>1.0</v>
      </c>
      <c r="N52" s="4"/>
    </row>
    <row r="53">
      <c r="B53" s="360" t="s">
        <v>2066</v>
      </c>
      <c r="C53" s="40"/>
      <c r="D53" s="4"/>
      <c r="E53" s="4"/>
      <c r="F53" s="4">
        <v>1.0</v>
      </c>
      <c r="G53" s="4"/>
      <c r="I53" s="353" t="s">
        <v>354</v>
      </c>
      <c r="J53" s="17"/>
      <c r="K53" s="40"/>
      <c r="L53" s="4"/>
      <c r="M53" s="4">
        <v>1.0</v>
      </c>
      <c r="N53" s="4" t="s">
        <v>2067</v>
      </c>
    </row>
    <row r="54">
      <c r="B54" s="362" t="s">
        <v>2068</v>
      </c>
      <c r="C54" s="40"/>
      <c r="D54" s="4"/>
      <c r="E54" s="4"/>
      <c r="F54" s="4">
        <v>1.0</v>
      </c>
      <c r="G54" s="4"/>
      <c r="I54" s="353" t="s">
        <v>2069</v>
      </c>
      <c r="J54" s="17"/>
      <c r="K54" s="40"/>
      <c r="L54" s="4"/>
      <c r="M54" s="4">
        <v>3.0</v>
      </c>
      <c r="N54" s="4" t="s">
        <v>2070</v>
      </c>
    </row>
    <row r="55">
      <c r="B55" s="362" t="s">
        <v>2071</v>
      </c>
      <c r="C55" s="40"/>
      <c r="D55" s="4"/>
      <c r="E55" s="4"/>
      <c r="F55" s="4">
        <v>1.0</v>
      </c>
      <c r="G55" s="4"/>
      <c r="I55" s="353" t="s">
        <v>1971</v>
      </c>
      <c r="J55" s="17"/>
      <c r="K55" s="40"/>
      <c r="L55" s="4"/>
      <c r="M55" s="4">
        <v>1.0</v>
      </c>
      <c r="N55" s="4"/>
    </row>
    <row r="56">
      <c r="B56" s="362" t="s">
        <v>2072</v>
      </c>
      <c r="C56" s="40"/>
      <c r="D56" s="4"/>
      <c r="E56" s="4"/>
      <c r="F56" s="4">
        <v>1.0</v>
      </c>
      <c r="G56" s="4"/>
      <c r="I56" s="360" t="s">
        <v>340</v>
      </c>
      <c r="J56" s="40"/>
      <c r="K56" s="40"/>
      <c r="L56" s="4"/>
      <c r="M56" s="4">
        <v>2.0</v>
      </c>
      <c r="N56" s="4"/>
    </row>
    <row r="57">
      <c r="B57" s="362" t="s">
        <v>2073</v>
      </c>
      <c r="C57" s="40"/>
      <c r="D57" s="4"/>
      <c r="E57" s="4"/>
      <c r="F57" s="4">
        <v>1.0</v>
      </c>
      <c r="G57" s="4"/>
      <c r="I57" s="346" t="s">
        <v>2074</v>
      </c>
      <c r="J57" s="17"/>
      <c r="K57" s="40"/>
      <c r="L57" s="4"/>
      <c r="M57" s="4">
        <v>2.0</v>
      </c>
      <c r="N57" s="4"/>
    </row>
    <row r="58">
      <c r="B58" s="362" t="s">
        <v>2075</v>
      </c>
      <c r="C58" s="40"/>
      <c r="D58" s="4"/>
      <c r="E58" s="4"/>
      <c r="F58" s="4">
        <v>1.0</v>
      </c>
      <c r="G58" s="4"/>
      <c r="I58" s="346" t="s">
        <v>345</v>
      </c>
      <c r="J58" s="17"/>
      <c r="K58" s="40"/>
      <c r="L58" s="4"/>
      <c r="M58" s="4">
        <v>1.0</v>
      </c>
      <c r="N58" s="4"/>
    </row>
    <row r="59">
      <c r="B59" s="360" t="s">
        <v>2076</v>
      </c>
      <c r="C59" s="40"/>
      <c r="D59" s="4"/>
      <c r="E59" s="4"/>
      <c r="F59" s="4">
        <v>1.0</v>
      </c>
      <c r="G59" s="4"/>
      <c r="I59" s="346" t="s">
        <v>2077</v>
      </c>
      <c r="J59" s="17"/>
      <c r="K59" s="40"/>
      <c r="L59" s="4"/>
      <c r="M59" s="4">
        <v>1.0</v>
      </c>
      <c r="N59" s="4"/>
    </row>
    <row r="60">
      <c r="B60" s="346" t="s">
        <v>2078</v>
      </c>
      <c r="C60" s="17"/>
      <c r="D60" s="4"/>
      <c r="E60" s="4"/>
      <c r="F60" s="4">
        <v>1.0</v>
      </c>
      <c r="G60" s="4"/>
      <c r="I60" s="346" t="s">
        <v>2079</v>
      </c>
      <c r="J60" s="17"/>
      <c r="K60" s="40"/>
      <c r="L60" s="4"/>
      <c r="M60" s="4">
        <v>1.0</v>
      </c>
      <c r="N60" s="4"/>
    </row>
    <row r="61">
      <c r="B61" s="365" t="s">
        <v>1952</v>
      </c>
      <c r="C61" s="17"/>
      <c r="D61" s="43"/>
      <c r="E61" s="43"/>
      <c r="F61" s="43">
        <v>1.0</v>
      </c>
      <c r="G61" s="4"/>
      <c r="I61" s="366" t="s">
        <v>2080</v>
      </c>
      <c r="J61" s="17"/>
      <c r="K61" s="40"/>
      <c r="L61" s="4"/>
      <c r="M61" s="4">
        <v>2.0</v>
      </c>
      <c r="N61" s="4" t="s">
        <v>2081</v>
      </c>
    </row>
    <row r="62">
      <c r="B62" s="365" t="s">
        <v>2082</v>
      </c>
      <c r="C62" s="17"/>
      <c r="D62" s="43"/>
      <c r="E62" s="43"/>
      <c r="F62" s="43">
        <v>1.0</v>
      </c>
      <c r="G62" s="4"/>
      <c r="I62" s="346" t="s">
        <v>1937</v>
      </c>
      <c r="J62" s="17"/>
      <c r="K62" s="40"/>
      <c r="L62" s="4"/>
      <c r="M62" s="4">
        <v>1.0</v>
      </c>
      <c r="N62" s="4"/>
    </row>
    <row r="63">
      <c r="B63" s="349" t="s">
        <v>38</v>
      </c>
      <c r="C63" s="17"/>
      <c r="D63" s="40"/>
      <c r="E63" s="40"/>
      <c r="F63" s="40">
        <f>SUM(F48:F62)</f>
        <v>15</v>
      </c>
      <c r="G63" s="40"/>
      <c r="I63" s="346" t="s">
        <v>2083</v>
      </c>
      <c r="J63" s="17"/>
      <c r="K63" s="40"/>
      <c r="L63" s="4"/>
      <c r="M63" s="4">
        <v>1.0</v>
      </c>
      <c r="N63" s="4"/>
    </row>
    <row r="64">
      <c r="I64" s="346" t="s">
        <v>2084</v>
      </c>
      <c r="J64" s="17"/>
      <c r="K64" s="40"/>
      <c r="L64" s="4"/>
      <c r="M64" s="4">
        <v>1.0</v>
      </c>
      <c r="N64" s="4"/>
    </row>
    <row r="65">
      <c r="I65" s="346" t="s">
        <v>2085</v>
      </c>
      <c r="J65" s="17"/>
      <c r="K65" s="40"/>
      <c r="L65" s="4"/>
      <c r="M65" s="4">
        <v>2.0</v>
      </c>
      <c r="N65" s="4"/>
    </row>
    <row r="66">
      <c r="B66" s="18" t="s">
        <v>58</v>
      </c>
      <c r="C66" s="16"/>
      <c r="D66" s="16"/>
      <c r="E66" s="16"/>
      <c r="F66" s="16"/>
      <c r="G66" s="17"/>
      <c r="I66" s="346" t="s">
        <v>2086</v>
      </c>
      <c r="J66" s="17"/>
      <c r="K66" s="40"/>
      <c r="L66" s="4"/>
      <c r="M66" s="4">
        <v>3.0</v>
      </c>
      <c r="N66" s="4"/>
    </row>
    <row r="67">
      <c r="B67" s="18" t="s">
        <v>1996</v>
      </c>
      <c r="C67" s="16"/>
      <c r="D67" s="16"/>
      <c r="E67" s="16"/>
      <c r="F67" s="16"/>
      <c r="G67" s="17"/>
      <c r="I67" s="346" t="s">
        <v>2087</v>
      </c>
      <c r="J67" s="17"/>
      <c r="K67" s="40"/>
      <c r="L67" s="4"/>
      <c r="M67" s="4">
        <v>2.0</v>
      </c>
      <c r="N67" s="4"/>
    </row>
    <row r="68">
      <c r="B68" s="18" t="s">
        <v>60</v>
      </c>
      <c r="C68" s="17"/>
      <c r="D68" s="19" t="s">
        <v>16</v>
      </c>
      <c r="E68" s="19" t="s">
        <v>17</v>
      </c>
      <c r="F68" s="19" t="s">
        <v>18</v>
      </c>
      <c r="G68" s="19" t="s">
        <v>19</v>
      </c>
      <c r="I68" s="346" t="s">
        <v>2088</v>
      </c>
      <c r="J68" s="17"/>
      <c r="K68" s="40"/>
      <c r="L68" s="4"/>
      <c r="M68" s="4">
        <v>2.0</v>
      </c>
      <c r="N68" s="4"/>
    </row>
    <row r="69">
      <c r="B69" s="356" t="s">
        <v>2089</v>
      </c>
      <c r="C69" s="16"/>
      <c r="D69" s="16"/>
      <c r="E69" s="16"/>
      <c r="F69" s="16"/>
      <c r="G69" s="17"/>
      <c r="I69" s="346" t="s">
        <v>2090</v>
      </c>
      <c r="J69" s="17"/>
      <c r="K69" s="40"/>
      <c r="L69" s="4"/>
      <c r="M69" s="4">
        <v>2.0</v>
      </c>
      <c r="N69" s="4"/>
    </row>
    <row r="70">
      <c r="B70" s="231" t="s">
        <v>268</v>
      </c>
      <c r="C70" s="17"/>
      <c r="D70" s="40"/>
      <c r="E70" s="40"/>
      <c r="F70" s="40"/>
      <c r="G70" s="42"/>
      <c r="I70" s="346" t="s">
        <v>2091</v>
      </c>
      <c r="J70" s="17"/>
      <c r="K70" s="40"/>
      <c r="L70" s="4"/>
      <c r="M70" s="4">
        <v>1.0</v>
      </c>
      <c r="N70" s="4"/>
    </row>
    <row r="71">
      <c r="B71" s="231" t="s">
        <v>157</v>
      </c>
      <c r="C71" s="17"/>
      <c r="D71" s="40"/>
      <c r="E71" s="40"/>
      <c r="F71" s="40"/>
      <c r="G71" s="40"/>
      <c r="I71" s="366" t="s">
        <v>2092</v>
      </c>
      <c r="J71" s="17"/>
      <c r="K71" s="40"/>
      <c r="L71" s="4"/>
      <c r="M71" s="4">
        <v>1.0</v>
      </c>
      <c r="N71" s="4"/>
    </row>
    <row r="72">
      <c r="B72" s="231" t="s">
        <v>189</v>
      </c>
      <c r="C72" s="17"/>
      <c r="D72" s="40"/>
      <c r="E72" s="40"/>
      <c r="F72" s="40"/>
      <c r="G72" s="40"/>
      <c r="I72" s="346" t="s">
        <v>2093</v>
      </c>
      <c r="J72" s="17"/>
      <c r="K72" s="40"/>
      <c r="L72" s="4"/>
      <c r="M72" s="4">
        <v>2.0</v>
      </c>
      <c r="N72" s="4"/>
    </row>
    <row r="73">
      <c r="B73" s="231" t="s">
        <v>283</v>
      </c>
      <c r="C73" s="17"/>
      <c r="D73" s="40"/>
      <c r="E73" s="40"/>
      <c r="F73" s="40"/>
      <c r="G73" s="40"/>
      <c r="I73" s="346" t="s">
        <v>2094</v>
      </c>
      <c r="J73" s="17"/>
      <c r="K73" s="40"/>
      <c r="L73" s="4"/>
      <c r="M73" s="4">
        <v>6.0</v>
      </c>
      <c r="N73" s="4"/>
    </row>
    <row r="74">
      <c r="B74" s="231" t="s">
        <v>180</v>
      </c>
      <c r="C74" s="17"/>
      <c r="D74" s="40"/>
      <c r="E74" s="45"/>
      <c r="F74" s="40"/>
      <c r="G74" s="40"/>
      <c r="I74" s="191" t="s">
        <v>2095</v>
      </c>
      <c r="J74" s="17"/>
      <c r="K74" s="40"/>
      <c r="L74" s="4"/>
      <c r="M74" s="4">
        <v>1.0</v>
      </c>
      <c r="N74" s="4"/>
    </row>
    <row r="75">
      <c r="B75" s="231" t="s">
        <v>199</v>
      </c>
      <c r="C75" s="17"/>
      <c r="D75" s="40"/>
      <c r="E75" s="40"/>
      <c r="F75" s="40"/>
      <c r="G75" s="40"/>
      <c r="I75" s="25" t="s">
        <v>38</v>
      </c>
      <c r="J75" s="17"/>
      <c r="K75" s="4"/>
      <c r="L75" s="4"/>
      <c r="M75" s="4">
        <f>SUM(M48:M74)</f>
        <v>48</v>
      </c>
      <c r="N75" s="4"/>
    </row>
    <row r="76">
      <c r="B76" s="231" t="s">
        <v>175</v>
      </c>
      <c r="C76" s="17"/>
      <c r="D76" s="40"/>
      <c r="E76" s="40"/>
      <c r="F76" s="40"/>
      <c r="G76" s="40"/>
    </row>
    <row r="77">
      <c r="B77" s="231" t="s">
        <v>297</v>
      </c>
      <c r="C77" s="17"/>
      <c r="D77" s="40"/>
      <c r="E77" s="40"/>
      <c r="F77" s="40"/>
      <c r="G77" s="40"/>
      <c r="I77" s="18" t="s">
        <v>58</v>
      </c>
      <c r="J77" s="16"/>
      <c r="K77" s="16"/>
      <c r="L77" s="16"/>
      <c r="M77" s="16"/>
      <c r="N77" s="17"/>
    </row>
    <row r="78">
      <c r="B78" s="231" t="s">
        <v>158</v>
      </c>
      <c r="C78" s="17"/>
      <c r="D78" s="40"/>
      <c r="E78" s="40"/>
      <c r="F78" s="40"/>
      <c r="G78" s="40"/>
      <c r="I78" s="18" t="s">
        <v>1996</v>
      </c>
      <c r="J78" s="16"/>
      <c r="K78" s="16"/>
      <c r="L78" s="16"/>
      <c r="M78" s="16"/>
      <c r="N78" s="17"/>
    </row>
    <row r="79">
      <c r="B79" s="231" t="s">
        <v>301</v>
      </c>
      <c r="C79" s="17"/>
      <c r="D79" s="40"/>
      <c r="E79" s="101"/>
      <c r="F79" s="40"/>
      <c r="G79" s="40"/>
      <c r="I79" s="18" t="s">
        <v>60</v>
      </c>
      <c r="J79" s="17"/>
      <c r="K79" s="19" t="s">
        <v>16</v>
      </c>
      <c r="L79" s="19" t="s">
        <v>17</v>
      </c>
      <c r="M79" s="19" t="s">
        <v>18</v>
      </c>
      <c r="N79" s="19" t="s">
        <v>19</v>
      </c>
    </row>
    <row r="80">
      <c r="B80" s="231" t="s">
        <v>216</v>
      </c>
      <c r="C80" s="17"/>
      <c r="D80" s="40"/>
      <c r="E80" s="40"/>
      <c r="F80" s="40"/>
      <c r="G80" s="40"/>
      <c r="I80" s="356" t="s">
        <v>2096</v>
      </c>
      <c r="J80" s="16"/>
      <c r="K80" s="16"/>
      <c r="L80" s="16"/>
      <c r="M80" s="16"/>
      <c r="N80" s="17"/>
    </row>
    <row r="81">
      <c r="B81" s="231" t="s">
        <v>296</v>
      </c>
      <c r="C81" s="17"/>
      <c r="D81" s="40"/>
      <c r="E81" s="40"/>
      <c r="F81" s="40"/>
      <c r="G81" s="40"/>
      <c r="I81" s="225" t="s">
        <v>269</v>
      </c>
      <c r="J81" s="79"/>
      <c r="K81" s="226" t="s">
        <v>87</v>
      </c>
      <c r="L81" s="226" t="s">
        <v>564</v>
      </c>
      <c r="M81" s="227">
        <v>1.0</v>
      </c>
      <c r="N81" s="4"/>
    </row>
    <row r="82">
      <c r="B82" s="32" t="s">
        <v>38</v>
      </c>
      <c r="C82" s="17"/>
      <c r="D82" s="40"/>
      <c r="E82" s="40"/>
      <c r="F82" s="40"/>
      <c r="G82" s="40"/>
      <c r="I82" s="225" t="s">
        <v>2097</v>
      </c>
      <c r="J82" s="79"/>
      <c r="K82" s="226" t="s">
        <v>23</v>
      </c>
      <c r="L82" s="226" t="s">
        <v>614</v>
      </c>
      <c r="M82" s="227">
        <v>1.0</v>
      </c>
      <c r="N82" s="4"/>
    </row>
    <row r="83">
      <c r="I83" s="225" t="s">
        <v>199</v>
      </c>
      <c r="J83" s="79"/>
      <c r="K83" s="226" t="s">
        <v>75</v>
      </c>
      <c r="L83" s="226" t="s">
        <v>325</v>
      </c>
      <c r="M83" s="227">
        <v>1.0</v>
      </c>
      <c r="N83" s="4"/>
    </row>
    <row r="84">
      <c r="I84" s="225" t="s">
        <v>568</v>
      </c>
      <c r="J84" s="79"/>
      <c r="K84" s="226" t="s">
        <v>78</v>
      </c>
      <c r="L84" s="367" t="s">
        <v>78</v>
      </c>
      <c r="M84" s="227">
        <v>1.0</v>
      </c>
      <c r="N84" s="4"/>
    </row>
    <row r="85">
      <c r="B85" s="18" t="s">
        <v>58</v>
      </c>
      <c r="C85" s="16"/>
      <c r="D85" s="16"/>
      <c r="E85" s="16"/>
      <c r="F85" s="16"/>
      <c r="G85" s="17"/>
      <c r="I85" s="225" t="s">
        <v>569</v>
      </c>
      <c r="J85" s="79"/>
      <c r="K85" s="226" t="s">
        <v>75</v>
      </c>
      <c r="L85" s="367" t="s">
        <v>2098</v>
      </c>
      <c r="M85" s="227">
        <v>1.0</v>
      </c>
      <c r="N85" s="4"/>
    </row>
    <row r="86">
      <c r="B86" s="18" t="s">
        <v>1996</v>
      </c>
      <c r="C86" s="16"/>
      <c r="D86" s="16"/>
      <c r="E86" s="16"/>
      <c r="F86" s="16"/>
      <c r="G86" s="17"/>
      <c r="I86" s="225" t="s">
        <v>273</v>
      </c>
      <c r="J86" s="79"/>
      <c r="K86" s="226" t="s">
        <v>87</v>
      </c>
      <c r="L86" s="226" t="s">
        <v>570</v>
      </c>
      <c r="M86" s="227">
        <v>1.0</v>
      </c>
      <c r="N86" s="4"/>
    </row>
    <row r="87">
      <c r="B87" s="18" t="s">
        <v>60</v>
      </c>
      <c r="C87" s="17"/>
      <c r="D87" s="19" t="s">
        <v>16</v>
      </c>
      <c r="E87" s="19" t="s">
        <v>17</v>
      </c>
      <c r="F87" s="19" t="s">
        <v>18</v>
      </c>
      <c r="G87" s="19" t="s">
        <v>19</v>
      </c>
      <c r="I87" s="225" t="s">
        <v>617</v>
      </c>
      <c r="J87" s="79"/>
      <c r="K87" s="226" t="s">
        <v>75</v>
      </c>
      <c r="L87" s="226" t="s">
        <v>341</v>
      </c>
      <c r="M87" s="227">
        <v>1.0</v>
      </c>
      <c r="N87" s="4"/>
    </row>
    <row r="88">
      <c r="B88" s="368" t="s">
        <v>2099</v>
      </c>
      <c r="C88" s="16"/>
      <c r="D88" s="16"/>
      <c r="E88" s="16"/>
      <c r="F88" s="16"/>
      <c r="G88" s="17"/>
      <c r="I88" s="225" t="s">
        <v>572</v>
      </c>
      <c r="J88" s="79"/>
      <c r="K88" s="226" t="s">
        <v>75</v>
      </c>
      <c r="L88" s="226" t="s">
        <v>2100</v>
      </c>
      <c r="M88" s="227">
        <v>1.0</v>
      </c>
      <c r="N88" s="4"/>
    </row>
    <row r="89">
      <c r="B89" s="346" t="s">
        <v>2101</v>
      </c>
      <c r="C89" s="16"/>
      <c r="D89" s="16"/>
      <c r="E89" s="16"/>
      <c r="F89" s="17"/>
      <c r="G89" s="4"/>
      <c r="I89" s="225" t="s">
        <v>158</v>
      </c>
      <c r="J89" s="79"/>
      <c r="K89" s="226" t="s">
        <v>23</v>
      </c>
      <c r="L89" s="226" t="s">
        <v>575</v>
      </c>
      <c r="M89" s="227">
        <v>1.0</v>
      </c>
      <c r="N89" s="4"/>
    </row>
    <row r="90">
      <c r="B90" s="353" t="s">
        <v>2102</v>
      </c>
      <c r="C90" s="16"/>
      <c r="D90" s="16"/>
      <c r="E90" s="16"/>
      <c r="F90" s="17"/>
      <c r="G90" s="4"/>
      <c r="I90" s="225" t="s">
        <v>275</v>
      </c>
      <c r="J90" s="79"/>
      <c r="K90" s="226" t="s">
        <v>75</v>
      </c>
      <c r="L90" s="226" t="s">
        <v>108</v>
      </c>
      <c r="M90" s="227">
        <v>1.0</v>
      </c>
      <c r="N90" s="4"/>
    </row>
    <row r="91">
      <c r="B91" s="353" t="s">
        <v>2103</v>
      </c>
      <c r="C91" s="16"/>
      <c r="D91" s="16"/>
      <c r="E91" s="16"/>
      <c r="F91" s="17"/>
      <c r="G91" s="4"/>
      <c r="I91" s="225" t="s">
        <v>275</v>
      </c>
      <c r="J91" s="79"/>
      <c r="K91" s="226" t="s">
        <v>75</v>
      </c>
      <c r="L91" s="226" t="s">
        <v>105</v>
      </c>
      <c r="M91" s="227">
        <v>1.0</v>
      </c>
      <c r="N91" s="4"/>
    </row>
    <row r="92">
      <c r="B92" s="353" t="s">
        <v>2104</v>
      </c>
      <c r="C92" s="16"/>
      <c r="D92" s="16"/>
      <c r="E92" s="16"/>
      <c r="F92" s="17"/>
      <c r="G92" s="4"/>
      <c r="I92" s="225" t="s">
        <v>579</v>
      </c>
      <c r="J92" s="79"/>
      <c r="K92" s="226" t="s">
        <v>75</v>
      </c>
      <c r="L92" s="226" t="s">
        <v>580</v>
      </c>
      <c r="M92" s="227">
        <v>1.0</v>
      </c>
      <c r="N92" s="4"/>
    </row>
    <row r="93">
      <c r="B93" s="353" t="s">
        <v>2105</v>
      </c>
      <c r="C93" s="16"/>
      <c r="D93" s="16"/>
      <c r="E93" s="16"/>
      <c r="F93" s="17"/>
      <c r="G93" s="4"/>
      <c r="I93" s="225" t="s">
        <v>74</v>
      </c>
      <c r="J93" s="79"/>
      <c r="K93" s="226" t="s">
        <v>75</v>
      </c>
      <c r="L93" s="226" t="s">
        <v>76</v>
      </c>
      <c r="M93" s="227">
        <v>1.0</v>
      </c>
      <c r="N93" s="4"/>
    </row>
    <row r="94">
      <c r="B94" s="346" t="s">
        <v>2106</v>
      </c>
      <c r="C94" s="16"/>
      <c r="D94" s="16"/>
      <c r="E94" s="16"/>
      <c r="F94" s="17"/>
      <c r="G94" s="4"/>
      <c r="I94" s="225" t="s">
        <v>582</v>
      </c>
      <c r="J94" s="79"/>
      <c r="K94" s="226" t="s">
        <v>75</v>
      </c>
      <c r="L94" s="226" t="s">
        <v>583</v>
      </c>
      <c r="M94" s="227">
        <v>1.0</v>
      </c>
      <c r="N94" s="4"/>
    </row>
    <row r="95">
      <c r="B95" s="25"/>
      <c r="C95" s="16"/>
      <c r="D95" s="16"/>
      <c r="E95" s="16"/>
      <c r="F95" s="17"/>
      <c r="G95" s="4"/>
      <c r="I95" s="225" t="s">
        <v>584</v>
      </c>
      <c r="J95" s="79"/>
      <c r="K95" s="226" t="s">
        <v>75</v>
      </c>
      <c r="L95" s="226" t="s">
        <v>585</v>
      </c>
      <c r="M95" s="227">
        <v>1.0</v>
      </c>
      <c r="N95" s="4"/>
    </row>
    <row r="96">
      <c r="I96" s="225" t="s">
        <v>586</v>
      </c>
      <c r="J96" s="79"/>
      <c r="K96" s="226" t="s">
        <v>75</v>
      </c>
      <c r="L96" s="226" t="s">
        <v>2107</v>
      </c>
      <c r="M96" s="227">
        <v>1.0</v>
      </c>
      <c r="N96" s="4"/>
    </row>
    <row r="97">
      <c r="I97" s="225" t="s">
        <v>83</v>
      </c>
      <c r="J97" s="79"/>
      <c r="K97" s="226" t="s">
        <v>75</v>
      </c>
      <c r="L97" s="226" t="s">
        <v>113</v>
      </c>
      <c r="M97" s="227">
        <v>1.0</v>
      </c>
      <c r="N97" s="4"/>
    </row>
    <row r="98">
      <c r="I98" s="225" t="s">
        <v>591</v>
      </c>
      <c r="J98" s="79"/>
      <c r="K98" s="226" t="s">
        <v>75</v>
      </c>
      <c r="L98" s="226" t="s">
        <v>592</v>
      </c>
      <c r="M98" s="227">
        <v>1.0</v>
      </c>
      <c r="N98" s="4"/>
    </row>
    <row r="99">
      <c r="B99" s="18" t="s">
        <v>58</v>
      </c>
      <c r="C99" s="16"/>
      <c r="D99" s="16"/>
      <c r="E99" s="16"/>
      <c r="F99" s="16"/>
      <c r="G99" s="17"/>
      <c r="I99" s="225" t="s">
        <v>594</v>
      </c>
      <c r="J99" s="79"/>
      <c r="K99" s="226" t="s">
        <v>75</v>
      </c>
      <c r="L99" s="226" t="s">
        <v>2108</v>
      </c>
      <c r="M99" s="227">
        <v>1.0</v>
      </c>
      <c r="N99" s="4"/>
    </row>
    <row r="100">
      <c r="B100" s="18" t="s">
        <v>1996</v>
      </c>
      <c r="C100" s="16"/>
      <c r="D100" s="16"/>
      <c r="E100" s="16"/>
      <c r="F100" s="16"/>
      <c r="G100" s="17"/>
      <c r="I100" s="225" t="s">
        <v>2109</v>
      </c>
      <c r="J100" s="79"/>
      <c r="K100" s="226" t="s">
        <v>87</v>
      </c>
      <c r="L100" s="369">
        <v>1501483.0</v>
      </c>
      <c r="M100" s="227">
        <v>1.0</v>
      </c>
      <c r="N100" s="4"/>
    </row>
    <row r="101">
      <c r="B101" s="18" t="s">
        <v>60</v>
      </c>
      <c r="C101" s="17"/>
      <c r="D101" s="19" t="s">
        <v>16</v>
      </c>
      <c r="E101" s="19" t="s">
        <v>17</v>
      </c>
      <c r="F101" s="19" t="s">
        <v>18</v>
      </c>
      <c r="G101" s="19" t="s">
        <v>19</v>
      </c>
      <c r="I101" s="225" t="s">
        <v>2110</v>
      </c>
      <c r="J101" s="79"/>
      <c r="K101" s="226" t="s">
        <v>87</v>
      </c>
      <c r="L101" s="226" t="s">
        <v>681</v>
      </c>
      <c r="M101" s="227">
        <v>1.0</v>
      </c>
      <c r="N101" s="4"/>
    </row>
    <row r="102">
      <c r="B102" s="370" t="s">
        <v>2111</v>
      </c>
      <c r="C102" s="174"/>
      <c r="D102" s="174"/>
      <c r="E102" s="174"/>
      <c r="F102" s="174"/>
      <c r="G102" s="171"/>
      <c r="I102" s="225" t="s">
        <v>600</v>
      </c>
      <c r="J102" s="79"/>
      <c r="K102" s="226" t="s">
        <v>78</v>
      </c>
      <c r="L102" s="226" t="s">
        <v>78</v>
      </c>
      <c r="M102" s="227">
        <v>1.0</v>
      </c>
      <c r="N102" s="4"/>
    </row>
    <row r="103">
      <c r="B103" s="346" t="s">
        <v>555</v>
      </c>
      <c r="C103" s="371"/>
      <c r="D103" s="371" t="s">
        <v>168</v>
      </c>
      <c r="E103" s="371" t="s">
        <v>2112</v>
      </c>
      <c r="F103" s="372">
        <v>1.0</v>
      </c>
      <c r="G103" s="76"/>
    </row>
    <row r="104">
      <c r="B104" s="373" t="s">
        <v>2113</v>
      </c>
      <c r="C104" s="374"/>
      <c r="D104" s="374" t="s">
        <v>234</v>
      </c>
      <c r="E104" s="374" t="s">
        <v>1346</v>
      </c>
      <c r="F104" s="85">
        <v>1.0</v>
      </c>
      <c r="G104" s="4"/>
    </row>
    <row r="105">
      <c r="B105" s="353" t="s">
        <v>2114</v>
      </c>
      <c r="C105" s="375"/>
      <c r="D105" s="375" t="s">
        <v>749</v>
      </c>
      <c r="E105" s="375" t="s">
        <v>78</v>
      </c>
      <c r="F105" s="376">
        <v>1.0</v>
      </c>
      <c r="G105" s="4"/>
    </row>
    <row r="106">
      <c r="B106" s="353" t="s">
        <v>2021</v>
      </c>
      <c r="C106" s="375"/>
      <c r="D106" s="375" t="s">
        <v>1323</v>
      </c>
      <c r="E106" s="375" t="s">
        <v>2115</v>
      </c>
      <c r="F106" s="376">
        <v>1.0</v>
      </c>
      <c r="G106" s="4"/>
    </row>
    <row r="107">
      <c r="B107" s="353" t="s">
        <v>546</v>
      </c>
      <c r="C107" s="375"/>
      <c r="D107" s="375" t="s">
        <v>78</v>
      </c>
      <c r="E107" s="375" t="s">
        <v>78</v>
      </c>
      <c r="F107" s="376">
        <v>2.0</v>
      </c>
      <c r="G107" s="4"/>
    </row>
    <row r="108">
      <c r="B108" s="346" t="s">
        <v>2116</v>
      </c>
      <c r="C108" s="371"/>
      <c r="D108" s="375" t="s">
        <v>78</v>
      </c>
      <c r="E108" s="375" t="s">
        <v>78</v>
      </c>
      <c r="F108" s="372">
        <v>2.0</v>
      </c>
      <c r="G108" s="4"/>
    </row>
    <row r="109">
      <c r="B109" s="251" t="s">
        <v>2117</v>
      </c>
      <c r="C109" s="377"/>
      <c r="D109" s="377" t="s">
        <v>168</v>
      </c>
      <c r="E109" s="377" t="s">
        <v>2118</v>
      </c>
      <c r="F109" s="378">
        <v>1.0</v>
      </c>
      <c r="G109" s="252"/>
    </row>
    <row r="110">
      <c r="B110" s="4" t="s">
        <v>2119</v>
      </c>
      <c r="C110" s="4"/>
      <c r="D110" s="4" t="s">
        <v>168</v>
      </c>
      <c r="E110" s="4" t="s">
        <v>2120</v>
      </c>
      <c r="F110" s="4"/>
      <c r="G110" s="4"/>
    </row>
    <row r="111">
      <c r="B111" s="4"/>
      <c r="C111" s="4"/>
      <c r="D111" s="4"/>
      <c r="E111" s="4"/>
      <c r="F111" s="4"/>
      <c r="G111" s="4"/>
    </row>
    <row r="112">
      <c r="B112" s="4"/>
      <c r="C112" s="4"/>
      <c r="D112" s="4"/>
      <c r="E112" s="4"/>
      <c r="F112" s="4"/>
      <c r="G112" s="4"/>
    </row>
    <row r="115">
      <c r="B115" s="379" t="s">
        <v>2121</v>
      </c>
      <c r="C115" s="16"/>
      <c r="D115" s="17"/>
    </row>
    <row r="116">
      <c r="B116" s="379" t="s">
        <v>2122</v>
      </c>
      <c r="C116" s="16"/>
      <c r="D116" s="17"/>
    </row>
    <row r="117">
      <c r="B117" s="379" t="s">
        <v>2123</v>
      </c>
      <c r="C117" s="16"/>
      <c r="D117" s="17"/>
    </row>
    <row r="118">
      <c r="B118" s="379" t="s">
        <v>2124</v>
      </c>
      <c r="C118" s="16"/>
      <c r="D118" s="17"/>
    </row>
    <row r="119">
      <c r="B119" s="25" t="s">
        <v>2125</v>
      </c>
      <c r="C119" s="16"/>
      <c r="D119" s="17"/>
    </row>
  </sheetData>
  <mergeCells count="210">
    <mergeCell ref="B44:G44"/>
    <mergeCell ref="I44:N44"/>
    <mergeCell ref="B45:G45"/>
    <mergeCell ref="I45:N45"/>
    <mergeCell ref="I46:J46"/>
    <mergeCell ref="B47:G47"/>
    <mergeCell ref="I47:N47"/>
    <mergeCell ref="B46:C46"/>
    <mergeCell ref="B48:C48"/>
    <mergeCell ref="B49:C49"/>
    <mergeCell ref="I50:J50"/>
    <mergeCell ref="I51:J51"/>
    <mergeCell ref="I52:J52"/>
    <mergeCell ref="I53:J53"/>
    <mergeCell ref="I60:J60"/>
    <mergeCell ref="I61:J61"/>
    <mergeCell ref="I59:J59"/>
    <mergeCell ref="I62:J62"/>
    <mergeCell ref="I64:J64"/>
    <mergeCell ref="I65:J65"/>
    <mergeCell ref="I54:J54"/>
    <mergeCell ref="I55:J55"/>
    <mergeCell ref="I57:J57"/>
    <mergeCell ref="I58:J58"/>
    <mergeCell ref="B60:C60"/>
    <mergeCell ref="B61:C61"/>
    <mergeCell ref="B62:C62"/>
    <mergeCell ref="I71:J71"/>
    <mergeCell ref="I72:J72"/>
    <mergeCell ref="I77:N77"/>
    <mergeCell ref="I78:N78"/>
    <mergeCell ref="I80:N80"/>
    <mergeCell ref="I70:J70"/>
    <mergeCell ref="I73:J73"/>
    <mergeCell ref="I95:J95"/>
    <mergeCell ref="I96:J96"/>
    <mergeCell ref="I97:J97"/>
    <mergeCell ref="I98:J98"/>
    <mergeCell ref="B99:G99"/>
    <mergeCell ref="I99:J99"/>
    <mergeCell ref="I100:J100"/>
    <mergeCell ref="B100:G100"/>
    <mergeCell ref="B101:C101"/>
    <mergeCell ref="I101:J101"/>
    <mergeCell ref="B102:G102"/>
    <mergeCell ref="I102:J102"/>
    <mergeCell ref="B115:D115"/>
    <mergeCell ref="B116:D116"/>
    <mergeCell ref="B63:C63"/>
    <mergeCell ref="I63:J63"/>
    <mergeCell ref="B66:G66"/>
    <mergeCell ref="I66:J66"/>
    <mergeCell ref="B67:G67"/>
    <mergeCell ref="I67:J67"/>
    <mergeCell ref="I68:J68"/>
    <mergeCell ref="B68:C68"/>
    <mergeCell ref="B69:G69"/>
    <mergeCell ref="I69:J69"/>
    <mergeCell ref="B70:C70"/>
    <mergeCell ref="B71:C71"/>
    <mergeCell ref="B72:C72"/>
    <mergeCell ref="B73:C73"/>
    <mergeCell ref="B74:C74"/>
    <mergeCell ref="I74:J74"/>
    <mergeCell ref="B75:C75"/>
    <mergeCell ref="I75:J75"/>
    <mergeCell ref="B76:C76"/>
    <mergeCell ref="B77:C77"/>
    <mergeCell ref="B78:C78"/>
    <mergeCell ref="B79:C79"/>
    <mergeCell ref="I79:J79"/>
    <mergeCell ref="B80:C80"/>
    <mergeCell ref="B81:C81"/>
    <mergeCell ref="I81:J81"/>
    <mergeCell ref="B82:C82"/>
    <mergeCell ref="I82:J82"/>
    <mergeCell ref="I83:J83"/>
    <mergeCell ref="I84:J84"/>
    <mergeCell ref="B85:G85"/>
    <mergeCell ref="I85:J85"/>
    <mergeCell ref="B86:G86"/>
    <mergeCell ref="I86:J86"/>
    <mergeCell ref="I87:J87"/>
    <mergeCell ref="I90:J90"/>
    <mergeCell ref="I91:J91"/>
    <mergeCell ref="B117:D117"/>
    <mergeCell ref="B118:D118"/>
    <mergeCell ref="B119:D119"/>
    <mergeCell ref="R6:V6"/>
    <mergeCell ref="W6:X6"/>
    <mergeCell ref="R7:V7"/>
    <mergeCell ref="W7:X7"/>
    <mergeCell ref="R8:V8"/>
    <mergeCell ref="W8:X8"/>
    <mergeCell ref="W9:X9"/>
    <mergeCell ref="R9:V9"/>
    <mergeCell ref="R10:V10"/>
    <mergeCell ref="W10:X10"/>
    <mergeCell ref="R11:V11"/>
    <mergeCell ref="W11:X11"/>
    <mergeCell ref="R12:V12"/>
    <mergeCell ref="W12:X12"/>
    <mergeCell ref="I8:J8"/>
    <mergeCell ref="I9:J9"/>
    <mergeCell ref="I10:J10"/>
    <mergeCell ref="B11:C11"/>
    <mergeCell ref="I11:J11"/>
    <mergeCell ref="B12:C12"/>
    <mergeCell ref="B13:C13"/>
    <mergeCell ref="B15:G15"/>
    <mergeCell ref="I15:J15"/>
    <mergeCell ref="B16:G16"/>
    <mergeCell ref="I16:J16"/>
    <mergeCell ref="I17:J17"/>
    <mergeCell ref="B18:G18"/>
    <mergeCell ref="I18:J18"/>
    <mergeCell ref="P21:Q21"/>
    <mergeCell ref="P22:Q22"/>
    <mergeCell ref="P25:Q25"/>
    <mergeCell ref="P9:Q9"/>
    <mergeCell ref="P10:Q10"/>
    <mergeCell ref="P12:Q12"/>
    <mergeCell ref="P13:Q13"/>
    <mergeCell ref="P14:Q14"/>
    <mergeCell ref="P15:Q15"/>
    <mergeCell ref="P19:Q19"/>
    <mergeCell ref="B17:C17"/>
    <mergeCell ref="B20:C20"/>
    <mergeCell ref="I20:N20"/>
    <mergeCell ref="I21:N21"/>
    <mergeCell ref="B22:C22"/>
    <mergeCell ref="I22:J22"/>
    <mergeCell ref="I23:N23"/>
    <mergeCell ref="B23:C23"/>
    <mergeCell ref="B24:C24"/>
    <mergeCell ref="B26:C26"/>
    <mergeCell ref="B27:C27"/>
    <mergeCell ref="B29:G29"/>
    <mergeCell ref="B30:G30"/>
    <mergeCell ref="I30:N31"/>
    <mergeCell ref="B31:C31"/>
    <mergeCell ref="B32:G32"/>
    <mergeCell ref="I32:N32"/>
    <mergeCell ref="B33:C33"/>
    <mergeCell ref="I33:N33"/>
    <mergeCell ref="K35:N35"/>
    <mergeCell ref="I36:J36"/>
    <mergeCell ref="I37:J37"/>
    <mergeCell ref="I38:J38"/>
    <mergeCell ref="I39:J39"/>
    <mergeCell ref="B41:C41"/>
    <mergeCell ref="I41:J41"/>
    <mergeCell ref="K41:N41"/>
    <mergeCell ref="B1:G1"/>
    <mergeCell ref="I1:N1"/>
    <mergeCell ref="B2:G2"/>
    <mergeCell ref="I2:N2"/>
    <mergeCell ref="P2:X2"/>
    <mergeCell ref="I3:J3"/>
    <mergeCell ref="P3:X3"/>
    <mergeCell ref="B3:C3"/>
    <mergeCell ref="B4:G4"/>
    <mergeCell ref="I4:N4"/>
    <mergeCell ref="P4:X4"/>
    <mergeCell ref="I5:J5"/>
    <mergeCell ref="P5:X5"/>
    <mergeCell ref="B6:C6"/>
    <mergeCell ref="I6:J6"/>
    <mergeCell ref="P6:Q6"/>
    <mergeCell ref="I7:J7"/>
    <mergeCell ref="P7:Q7"/>
    <mergeCell ref="B8:C8"/>
    <mergeCell ref="P8:Q8"/>
    <mergeCell ref="B9:C9"/>
    <mergeCell ref="P18:U18"/>
    <mergeCell ref="P20:U20"/>
    <mergeCell ref="P23:Q23"/>
    <mergeCell ref="P24:Q24"/>
    <mergeCell ref="P26:Q26"/>
    <mergeCell ref="P27:Q27"/>
    <mergeCell ref="R13:V13"/>
    <mergeCell ref="W13:X13"/>
    <mergeCell ref="R14:V14"/>
    <mergeCell ref="W14:X14"/>
    <mergeCell ref="R15:V15"/>
    <mergeCell ref="W15:X15"/>
    <mergeCell ref="P17:U17"/>
    <mergeCell ref="I12:J12"/>
    <mergeCell ref="I13:J13"/>
    <mergeCell ref="I14:J14"/>
    <mergeCell ref="I28:J28"/>
    <mergeCell ref="I29:J29"/>
    <mergeCell ref="I34:J34"/>
    <mergeCell ref="I35:J35"/>
    <mergeCell ref="I48:J48"/>
    <mergeCell ref="I49:J49"/>
    <mergeCell ref="B87:C87"/>
    <mergeCell ref="B88:G88"/>
    <mergeCell ref="I88:J88"/>
    <mergeCell ref="B89:F89"/>
    <mergeCell ref="I89:J89"/>
    <mergeCell ref="B90:F90"/>
    <mergeCell ref="B91:F91"/>
    <mergeCell ref="B92:F92"/>
    <mergeCell ref="I92:J92"/>
    <mergeCell ref="B93:F93"/>
    <mergeCell ref="I93:J93"/>
    <mergeCell ref="B94:F94"/>
    <mergeCell ref="I94:J94"/>
    <mergeCell ref="B95:F95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9.86"/>
    <col customWidth="1" min="3" max="3" width="15.14"/>
    <col customWidth="1" min="4" max="4" width="21.86"/>
    <col customWidth="1" min="6" max="6" width="24.14"/>
    <col customWidth="1" min="9" max="9" width="20.57"/>
    <col customWidth="1" min="13" max="13" width="20.29"/>
  </cols>
  <sheetData>
    <row r="3">
      <c r="A3" s="18" t="s">
        <v>58</v>
      </c>
      <c r="B3" s="16"/>
      <c r="C3" s="16"/>
      <c r="D3" s="16"/>
      <c r="E3" s="16"/>
      <c r="F3" s="17"/>
      <c r="H3" s="18" t="s">
        <v>58</v>
      </c>
      <c r="I3" s="16"/>
      <c r="J3" s="16"/>
      <c r="K3" s="16"/>
      <c r="L3" s="16"/>
      <c r="M3" s="17"/>
    </row>
    <row r="4">
      <c r="A4" s="18" t="s">
        <v>2126</v>
      </c>
      <c r="B4" s="16"/>
      <c r="C4" s="16"/>
      <c r="D4" s="16"/>
      <c r="E4" s="16"/>
      <c r="F4" s="17"/>
      <c r="H4" s="18" t="s">
        <v>2126</v>
      </c>
      <c r="I4" s="16"/>
      <c r="J4" s="16"/>
      <c r="K4" s="16"/>
      <c r="L4" s="16"/>
      <c r="M4" s="17"/>
    </row>
    <row r="5">
      <c r="A5" s="18" t="s">
        <v>60</v>
      </c>
      <c r="B5" s="17"/>
      <c r="C5" s="19" t="s">
        <v>16</v>
      </c>
      <c r="D5" s="19" t="s">
        <v>17</v>
      </c>
      <c r="E5" s="19" t="s">
        <v>18</v>
      </c>
      <c r="F5" s="19" t="s">
        <v>19</v>
      </c>
      <c r="H5" s="18" t="s">
        <v>60</v>
      </c>
      <c r="I5" s="17"/>
      <c r="J5" s="19" t="s">
        <v>16</v>
      </c>
      <c r="K5" s="19" t="s">
        <v>17</v>
      </c>
      <c r="L5" s="19" t="s">
        <v>18</v>
      </c>
      <c r="M5" s="19" t="s">
        <v>19</v>
      </c>
    </row>
    <row r="6">
      <c r="A6" s="380" t="s">
        <v>2127</v>
      </c>
      <c r="B6" s="16"/>
      <c r="C6" s="16"/>
      <c r="D6" s="16"/>
      <c r="E6" s="16"/>
      <c r="F6" s="17"/>
      <c r="H6" s="380" t="s">
        <v>2128</v>
      </c>
      <c r="I6" s="16"/>
      <c r="J6" s="16"/>
      <c r="K6" s="16"/>
      <c r="L6" s="16"/>
      <c r="M6" s="17"/>
    </row>
    <row r="7">
      <c r="A7" s="349" t="s">
        <v>1971</v>
      </c>
      <c r="B7" s="17"/>
      <c r="C7" s="4" t="s">
        <v>120</v>
      </c>
      <c r="D7" s="46" t="s">
        <v>121</v>
      </c>
      <c r="E7" s="4">
        <v>1.0</v>
      </c>
      <c r="F7" s="4"/>
      <c r="H7" s="349" t="s">
        <v>2129</v>
      </c>
      <c r="I7" s="17"/>
      <c r="J7" s="4" t="s">
        <v>168</v>
      </c>
      <c r="K7" s="46"/>
      <c r="L7" s="4">
        <v>1.0</v>
      </c>
      <c r="M7" s="4"/>
    </row>
    <row r="8">
      <c r="A8" s="349" t="s">
        <v>2061</v>
      </c>
      <c r="B8" s="17"/>
      <c r="C8" s="76" t="s">
        <v>168</v>
      </c>
      <c r="D8" s="4" t="s">
        <v>2130</v>
      </c>
      <c r="E8" s="4">
        <v>1.0</v>
      </c>
      <c r="F8" s="4"/>
      <c r="H8" s="349" t="s">
        <v>2131</v>
      </c>
      <c r="I8" s="17"/>
      <c r="J8" s="76" t="s">
        <v>168</v>
      </c>
      <c r="K8" s="4"/>
      <c r="L8" s="4">
        <v>1.0</v>
      </c>
      <c r="M8" s="4"/>
    </row>
    <row r="9">
      <c r="A9" s="349" t="s">
        <v>2132</v>
      </c>
      <c r="B9" s="17"/>
      <c r="C9" s="4" t="s">
        <v>87</v>
      </c>
      <c r="D9" s="46" t="s">
        <v>391</v>
      </c>
      <c r="E9" s="4">
        <v>1.0</v>
      </c>
      <c r="F9" s="4"/>
      <c r="H9" s="349" t="s">
        <v>38</v>
      </c>
      <c r="I9" s="17"/>
      <c r="J9" s="4"/>
      <c r="K9" s="4"/>
      <c r="L9" s="4">
        <f>SUM(L7:L8)</f>
        <v>2</v>
      </c>
      <c r="M9" s="4"/>
    </row>
    <row r="10">
      <c r="A10" s="349" t="s">
        <v>2133</v>
      </c>
      <c r="B10" s="17"/>
      <c r="C10" s="4" t="s">
        <v>168</v>
      </c>
      <c r="D10" s="46" t="s">
        <v>2034</v>
      </c>
      <c r="E10" s="4">
        <v>1.0</v>
      </c>
      <c r="F10" s="4"/>
      <c r="H10" s="381"/>
      <c r="J10" s="24"/>
      <c r="K10" s="382"/>
      <c r="L10" s="24"/>
      <c r="M10" s="24"/>
    </row>
    <row r="11">
      <c r="A11" s="349" t="s">
        <v>345</v>
      </c>
      <c r="B11" s="17"/>
      <c r="C11" s="4" t="s">
        <v>168</v>
      </c>
      <c r="D11" s="4" t="s">
        <v>2134</v>
      </c>
      <c r="E11" s="4">
        <v>1.0</v>
      </c>
      <c r="F11" s="4"/>
      <c r="H11" s="381"/>
      <c r="J11" s="24"/>
      <c r="K11" s="24"/>
      <c r="L11" s="24"/>
    </row>
    <row r="12">
      <c r="A12" s="349" t="s">
        <v>2135</v>
      </c>
      <c r="B12" s="17"/>
      <c r="C12" s="4" t="s">
        <v>222</v>
      </c>
      <c r="D12" s="4"/>
      <c r="E12" s="4">
        <v>1.0</v>
      </c>
      <c r="F12" s="4" t="s">
        <v>1819</v>
      </c>
      <c r="H12" s="381"/>
      <c r="J12" s="24"/>
      <c r="K12" s="24"/>
      <c r="L12" s="24"/>
    </row>
    <row r="13">
      <c r="A13" s="349" t="s">
        <v>1151</v>
      </c>
      <c r="B13" s="17"/>
      <c r="C13" s="4" t="s">
        <v>168</v>
      </c>
      <c r="D13" s="4" t="s">
        <v>2136</v>
      </c>
      <c r="E13" s="4">
        <v>1.0</v>
      </c>
      <c r="F13" s="4"/>
      <c r="H13" s="381"/>
      <c r="J13" s="24"/>
      <c r="K13" s="24"/>
      <c r="L13" s="24"/>
    </row>
    <row r="14">
      <c r="A14" s="349" t="s">
        <v>2137</v>
      </c>
      <c r="B14" s="17"/>
      <c r="C14" s="4" t="s">
        <v>168</v>
      </c>
      <c r="D14" s="4" t="s">
        <v>2138</v>
      </c>
      <c r="E14" s="4">
        <v>1.0</v>
      </c>
      <c r="F14" s="4"/>
      <c r="H14" s="381"/>
      <c r="J14" s="24"/>
      <c r="K14" s="24"/>
      <c r="L14" s="24"/>
    </row>
    <row r="15">
      <c r="A15" s="349" t="s">
        <v>38</v>
      </c>
      <c r="B15" s="17"/>
      <c r="C15" s="4"/>
      <c r="D15" s="4"/>
      <c r="E15" s="4">
        <f>SUM(E7:E14)</f>
        <v>8</v>
      </c>
      <c r="F15" s="4"/>
    </row>
    <row r="18">
      <c r="A18" s="18" t="s">
        <v>58</v>
      </c>
      <c r="B18" s="16"/>
      <c r="C18" s="16"/>
      <c r="D18" s="16"/>
      <c r="E18" s="16"/>
      <c r="F18" s="17"/>
      <c r="H18" s="18" t="s">
        <v>58</v>
      </c>
      <c r="I18" s="16"/>
      <c r="J18" s="16"/>
      <c r="K18" s="16"/>
      <c r="L18" s="16"/>
      <c r="M18" s="17"/>
    </row>
    <row r="19">
      <c r="A19" s="18" t="s">
        <v>2126</v>
      </c>
      <c r="B19" s="16"/>
      <c r="C19" s="16"/>
      <c r="D19" s="16"/>
      <c r="E19" s="16"/>
      <c r="F19" s="17"/>
      <c r="H19" s="18" t="s">
        <v>2126</v>
      </c>
      <c r="I19" s="16"/>
      <c r="J19" s="16"/>
      <c r="K19" s="16"/>
      <c r="L19" s="16"/>
      <c r="M19" s="17"/>
    </row>
    <row r="20">
      <c r="A20" s="18" t="s">
        <v>60</v>
      </c>
      <c r="B20" s="17"/>
      <c r="C20" s="19" t="s">
        <v>16</v>
      </c>
      <c r="D20" s="19" t="s">
        <v>17</v>
      </c>
      <c r="E20" s="19" t="s">
        <v>18</v>
      </c>
      <c r="F20" s="19" t="s">
        <v>19</v>
      </c>
      <c r="H20" s="18" t="s">
        <v>60</v>
      </c>
      <c r="I20" s="17"/>
      <c r="J20" s="19" t="s">
        <v>16</v>
      </c>
      <c r="K20" s="19" t="s">
        <v>17</v>
      </c>
      <c r="L20" s="19" t="s">
        <v>18</v>
      </c>
      <c r="M20" s="19" t="s">
        <v>19</v>
      </c>
    </row>
    <row r="21">
      <c r="A21" s="380" t="s">
        <v>1890</v>
      </c>
      <c r="B21" s="16"/>
      <c r="C21" s="16"/>
      <c r="D21" s="16"/>
      <c r="E21" s="16"/>
      <c r="F21" s="17"/>
      <c r="H21" s="380" t="s">
        <v>2139</v>
      </c>
      <c r="I21" s="16"/>
      <c r="J21" s="16"/>
      <c r="K21" s="16"/>
      <c r="L21" s="16"/>
      <c r="M21" s="17"/>
    </row>
    <row r="22">
      <c r="A22" s="349" t="s">
        <v>1971</v>
      </c>
      <c r="B22" s="17"/>
      <c r="C22" s="4" t="s">
        <v>120</v>
      </c>
      <c r="D22" s="46" t="s">
        <v>121</v>
      </c>
      <c r="E22" s="4">
        <v>1.0</v>
      </c>
      <c r="F22" s="4"/>
      <c r="H22" s="349" t="s">
        <v>1187</v>
      </c>
      <c r="I22" s="17"/>
      <c r="J22" s="4" t="s">
        <v>168</v>
      </c>
      <c r="K22" s="46" t="s">
        <v>2140</v>
      </c>
      <c r="L22" s="4">
        <v>1.0</v>
      </c>
      <c r="M22" s="4"/>
    </row>
    <row r="23">
      <c r="A23" s="349" t="s">
        <v>2141</v>
      </c>
      <c r="B23" s="17"/>
      <c r="C23" s="76" t="s">
        <v>168</v>
      </c>
      <c r="D23" s="4" t="s">
        <v>2142</v>
      </c>
      <c r="E23" s="4">
        <v>1.0</v>
      </c>
      <c r="F23" s="4"/>
      <c r="H23" s="349" t="s">
        <v>2143</v>
      </c>
      <c r="I23" s="17"/>
      <c r="J23" s="76" t="s">
        <v>168</v>
      </c>
      <c r="K23" s="4" t="s">
        <v>2144</v>
      </c>
      <c r="L23" s="4">
        <v>1.0</v>
      </c>
      <c r="M23" s="4"/>
    </row>
    <row r="24">
      <c r="A24" s="349" t="s">
        <v>2145</v>
      </c>
      <c r="B24" s="17"/>
      <c r="C24" s="4" t="s">
        <v>168</v>
      </c>
      <c r="D24" s="46" t="s">
        <v>2146</v>
      </c>
      <c r="E24" s="4">
        <v>1.0</v>
      </c>
      <c r="F24" s="4"/>
      <c r="H24" s="349" t="s">
        <v>506</v>
      </c>
      <c r="I24" s="17"/>
      <c r="J24" s="4" t="s">
        <v>168</v>
      </c>
      <c r="K24" s="46" t="s">
        <v>2147</v>
      </c>
      <c r="L24" s="4">
        <v>1.0</v>
      </c>
      <c r="M24" s="4"/>
    </row>
    <row r="25">
      <c r="A25" s="349" t="s">
        <v>2145</v>
      </c>
      <c r="B25" s="17"/>
      <c r="C25" s="4" t="s">
        <v>168</v>
      </c>
      <c r="D25" s="46" t="s">
        <v>2148</v>
      </c>
      <c r="E25" s="4">
        <v>1.0</v>
      </c>
      <c r="F25" s="4"/>
      <c r="H25" s="349" t="s">
        <v>2149</v>
      </c>
      <c r="I25" s="17"/>
      <c r="J25" s="4" t="s">
        <v>168</v>
      </c>
      <c r="K25" s="46" t="s">
        <v>2150</v>
      </c>
      <c r="L25" s="4">
        <v>2.0</v>
      </c>
      <c r="M25" s="4"/>
    </row>
    <row r="26">
      <c r="A26" s="349" t="s">
        <v>38</v>
      </c>
      <c r="B26" s="17"/>
      <c r="C26" s="4"/>
      <c r="D26" s="4"/>
      <c r="E26" s="4">
        <f>SUM(E22:E25)</f>
        <v>4</v>
      </c>
      <c r="F26" s="4"/>
      <c r="H26" s="349" t="s">
        <v>2151</v>
      </c>
      <c r="I26" s="17"/>
      <c r="J26" s="4" t="s">
        <v>168</v>
      </c>
      <c r="K26" s="4" t="s">
        <v>2152</v>
      </c>
      <c r="L26" s="4">
        <v>2.0</v>
      </c>
      <c r="M26" s="4"/>
    </row>
    <row r="27">
      <c r="A27" s="381"/>
      <c r="C27" s="24"/>
      <c r="D27" s="24"/>
      <c r="E27" s="24"/>
      <c r="H27" s="349" t="s">
        <v>558</v>
      </c>
      <c r="I27" s="17"/>
      <c r="J27" s="4" t="s">
        <v>2153</v>
      </c>
      <c r="K27" s="4" t="s">
        <v>78</v>
      </c>
      <c r="L27" s="4">
        <v>1.0</v>
      </c>
      <c r="M27" s="4"/>
    </row>
    <row r="28">
      <c r="A28" s="381"/>
      <c r="C28" s="24"/>
      <c r="D28" s="24"/>
      <c r="E28" s="24"/>
      <c r="H28" s="349" t="s">
        <v>558</v>
      </c>
      <c r="I28" s="17"/>
      <c r="J28" s="4" t="s">
        <v>168</v>
      </c>
      <c r="K28" s="4" t="s">
        <v>2154</v>
      </c>
      <c r="L28" s="4">
        <v>1.0</v>
      </c>
      <c r="M28" s="4"/>
    </row>
    <row r="29">
      <c r="A29" s="381"/>
      <c r="C29" s="24"/>
      <c r="D29" s="24"/>
      <c r="E29" s="24"/>
      <c r="H29" s="349" t="s">
        <v>428</v>
      </c>
      <c r="I29" s="17"/>
      <c r="J29" s="4" t="s">
        <v>120</v>
      </c>
      <c r="K29" s="4" t="s">
        <v>2155</v>
      </c>
      <c r="L29" s="4">
        <v>1.0</v>
      </c>
      <c r="M29" s="4"/>
    </row>
    <row r="30">
      <c r="H30" s="349" t="s">
        <v>74</v>
      </c>
      <c r="I30" s="17"/>
      <c r="J30" s="4" t="s">
        <v>168</v>
      </c>
      <c r="K30" s="4" t="s">
        <v>2156</v>
      </c>
      <c r="L30" s="4">
        <v>1.0</v>
      </c>
      <c r="M30" s="4"/>
    </row>
    <row r="31">
      <c r="H31" s="349" t="s">
        <v>2157</v>
      </c>
      <c r="I31" s="17"/>
      <c r="J31" s="4" t="s">
        <v>120</v>
      </c>
      <c r="K31" s="4" t="s">
        <v>475</v>
      </c>
      <c r="L31" s="4">
        <v>1.0</v>
      </c>
      <c r="M31" s="4"/>
    </row>
    <row r="32">
      <c r="H32" s="349" t="s">
        <v>2158</v>
      </c>
      <c r="I32" s="17"/>
      <c r="J32" s="4" t="s">
        <v>168</v>
      </c>
      <c r="K32" s="4" t="s">
        <v>2159</v>
      </c>
      <c r="L32" s="4">
        <v>1.0</v>
      </c>
      <c r="M32" s="4"/>
    </row>
    <row r="33">
      <c r="A33" s="18" t="s">
        <v>58</v>
      </c>
      <c r="B33" s="16"/>
      <c r="C33" s="16"/>
      <c r="D33" s="16"/>
      <c r="E33" s="16"/>
      <c r="F33" s="17"/>
      <c r="H33" s="349" t="s">
        <v>231</v>
      </c>
      <c r="I33" s="17"/>
      <c r="J33" s="4" t="s">
        <v>120</v>
      </c>
      <c r="K33" s="4" t="s">
        <v>233</v>
      </c>
      <c r="L33" s="4">
        <v>1.0</v>
      </c>
      <c r="M33" s="4"/>
    </row>
    <row r="34">
      <c r="A34" s="18" t="s">
        <v>2126</v>
      </c>
      <c r="B34" s="16"/>
      <c r="C34" s="16"/>
      <c r="D34" s="16"/>
      <c r="E34" s="16"/>
      <c r="F34" s="17"/>
      <c r="H34" s="349" t="s">
        <v>680</v>
      </c>
      <c r="I34" s="17"/>
      <c r="J34" s="4" t="s">
        <v>120</v>
      </c>
      <c r="K34" s="4" t="s">
        <v>515</v>
      </c>
      <c r="L34" s="4">
        <v>1.0</v>
      </c>
      <c r="M34" s="4"/>
    </row>
    <row r="35">
      <c r="A35" s="18" t="s">
        <v>60</v>
      </c>
      <c r="B35" s="17"/>
      <c r="C35" s="19" t="s">
        <v>16</v>
      </c>
      <c r="D35" s="19" t="s">
        <v>17</v>
      </c>
      <c r="E35" s="19" t="s">
        <v>18</v>
      </c>
      <c r="F35" s="19" t="s">
        <v>19</v>
      </c>
      <c r="H35" s="349" t="s">
        <v>601</v>
      </c>
      <c r="I35" s="17"/>
      <c r="J35" s="4" t="s">
        <v>120</v>
      </c>
      <c r="K35" s="4" t="s">
        <v>2160</v>
      </c>
      <c r="L35" s="4">
        <v>1.0</v>
      </c>
      <c r="M35" s="4"/>
    </row>
    <row r="36">
      <c r="A36" s="380" t="s">
        <v>2161</v>
      </c>
      <c r="B36" s="16"/>
      <c r="C36" s="16"/>
      <c r="D36" s="16"/>
      <c r="E36" s="16"/>
      <c r="F36" s="17"/>
      <c r="H36" s="349" t="s">
        <v>268</v>
      </c>
      <c r="I36" s="17"/>
      <c r="J36" s="4" t="s">
        <v>120</v>
      </c>
      <c r="K36" s="4" t="s">
        <v>2162</v>
      </c>
      <c r="L36" s="4">
        <v>1.0</v>
      </c>
      <c r="M36" s="4"/>
    </row>
    <row r="37">
      <c r="A37" s="349" t="s">
        <v>1971</v>
      </c>
      <c r="B37" s="17"/>
      <c r="C37" s="4" t="s">
        <v>120</v>
      </c>
      <c r="D37" s="46" t="s">
        <v>121</v>
      </c>
      <c r="E37" s="4">
        <v>1.0</v>
      </c>
      <c r="F37" s="4"/>
      <c r="H37" s="349" t="s">
        <v>364</v>
      </c>
      <c r="I37" s="17"/>
      <c r="J37" s="4" t="s">
        <v>168</v>
      </c>
      <c r="K37" s="4" t="s">
        <v>2163</v>
      </c>
      <c r="L37" s="4">
        <v>1.0</v>
      </c>
      <c r="M37" s="4"/>
    </row>
    <row r="38">
      <c r="A38" s="349" t="s">
        <v>2061</v>
      </c>
      <c r="B38" s="17"/>
      <c r="C38" s="76" t="s">
        <v>168</v>
      </c>
      <c r="D38" s="4" t="s">
        <v>2130</v>
      </c>
      <c r="E38" s="4">
        <v>1.0</v>
      </c>
      <c r="F38" s="4"/>
      <c r="H38" s="349" t="s">
        <v>80</v>
      </c>
      <c r="I38" s="17"/>
      <c r="J38" s="4" t="s">
        <v>222</v>
      </c>
      <c r="K38" s="4"/>
      <c r="L38" s="4">
        <v>1.0</v>
      </c>
      <c r="M38" s="4" t="s">
        <v>1819</v>
      </c>
    </row>
    <row r="39">
      <c r="A39" s="349" t="s">
        <v>2132</v>
      </c>
      <c r="B39" s="17"/>
      <c r="C39" s="4" t="s">
        <v>87</v>
      </c>
      <c r="D39" s="46" t="s">
        <v>391</v>
      </c>
      <c r="E39" s="4">
        <v>1.0</v>
      </c>
      <c r="F39" s="4"/>
      <c r="H39" s="349" t="s">
        <v>1215</v>
      </c>
      <c r="I39" s="17"/>
      <c r="J39" s="4" t="s">
        <v>168</v>
      </c>
      <c r="K39" s="4" t="s">
        <v>2164</v>
      </c>
      <c r="L39" s="4">
        <v>1.0</v>
      </c>
      <c r="M39" s="4"/>
    </row>
    <row r="40">
      <c r="A40" s="349" t="s">
        <v>2133</v>
      </c>
      <c r="B40" s="17"/>
      <c r="C40" s="4" t="s">
        <v>168</v>
      </c>
      <c r="D40" s="46" t="s">
        <v>2034</v>
      </c>
      <c r="E40" s="4">
        <v>1.0</v>
      </c>
      <c r="F40" s="4"/>
      <c r="H40" s="349" t="s">
        <v>256</v>
      </c>
      <c r="I40" s="17"/>
      <c r="J40" s="4"/>
      <c r="K40" s="4"/>
      <c r="L40" s="4">
        <f>SUM(L22:L39)</f>
        <v>20</v>
      </c>
      <c r="M40" s="4"/>
    </row>
    <row r="41">
      <c r="A41" s="349" t="s">
        <v>345</v>
      </c>
      <c r="B41" s="17"/>
      <c r="C41" s="4" t="s">
        <v>168</v>
      </c>
      <c r="D41" s="4" t="s">
        <v>2134</v>
      </c>
      <c r="E41" s="4">
        <v>1.0</v>
      </c>
      <c r="F41" s="4"/>
    </row>
    <row r="42">
      <c r="A42" s="349" t="s">
        <v>2135</v>
      </c>
      <c r="B42" s="17"/>
      <c r="C42" s="4" t="s">
        <v>222</v>
      </c>
      <c r="D42" s="4"/>
      <c r="E42" s="4">
        <v>1.0</v>
      </c>
      <c r="F42" s="4" t="s">
        <v>1819</v>
      </c>
    </row>
    <row r="43">
      <c r="A43" s="349" t="s">
        <v>1151</v>
      </c>
      <c r="B43" s="17"/>
      <c r="C43" s="4" t="s">
        <v>168</v>
      </c>
      <c r="D43" s="4" t="s">
        <v>2136</v>
      </c>
      <c r="E43" s="4">
        <v>1.0</v>
      </c>
      <c r="F43" s="4"/>
    </row>
    <row r="44">
      <c r="A44" s="349" t="s">
        <v>2137</v>
      </c>
      <c r="B44" s="17"/>
      <c r="C44" s="4" t="s">
        <v>168</v>
      </c>
      <c r="D44" s="4" t="s">
        <v>2138</v>
      </c>
      <c r="E44" s="4">
        <v>1.0</v>
      </c>
      <c r="F44" s="4"/>
    </row>
    <row r="45">
      <c r="A45" s="349" t="s">
        <v>38</v>
      </c>
      <c r="B45" s="17"/>
      <c r="C45" s="4"/>
      <c r="D45" s="4"/>
      <c r="E45" s="4">
        <f>SUM(E37:E44)</f>
        <v>8</v>
      </c>
      <c r="F45" s="4"/>
    </row>
  </sheetData>
  <mergeCells count="74">
    <mergeCell ref="H32:I32"/>
    <mergeCell ref="H33:I33"/>
    <mergeCell ref="H25:I25"/>
    <mergeCell ref="H26:I26"/>
    <mergeCell ref="H27:I27"/>
    <mergeCell ref="H28:I28"/>
    <mergeCell ref="H29:I29"/>
    <mergeCell ref="H30:I30"/>
    <mergeCell ref="H31:I31"/>
    <mergeCell ref="H38:I38"/>
    <mergeCell ref="H39:I39"/>
    <mergeCell ref="H40:I40"/>
    <mergeCell ref="H41:I41"/>
    <mergeCell ref="A34:F34"/>
    <mergeCell ref="H34:I34"/>
    <mergeCell ref="A35:B35"/>
    <mergeCell ref="H35:I35"/>
    <mergeCell ref="A36:F36"/>
    <mergeCell ref="H36:I36"/>
    <mergeCell ref="H37:I37"/>
    <mergeCell ref="A44:B44"/>
    <mergeCell ref="A45:B45"/>
    <mergeCell ref="A37:B37"/>
    <mergeCell ref="A38:B38"/>
    <mergeCell ref="A39:B39"/>
    <mergeCell ref="A40:B40"/>
    <mergeCell ref="A41:B41"/>
    <mergeCell ref="A42:B42"/>
    <mergeCell ref="A43:B43"/>
    <mergeCell ref="H7:I7"/>
    <mergeCell ref="H8:I8"/>
    <mergeCell ref="H9:I9"/>
    <mergeCell ref="H10:I10"/>
    <mergeCell ref="H11:I11"/>
    <mergeCell ref="H12:I12"/>
    <mergeCell ref="H13:I13"/>
    <mergeCell ref="H14:I14"/>
    <mergeCell ref="A3:F3"/>
    <mergeCell ref="H3:M3"/>
    <mergeCell ref="A4:F4"/>
    <mergeCell ref="H4:M4"/>
    <mergeCell ref="H5:I5"/>
    <mergeCell ref="A6:F6"/>
    <mergeCell ref="H6:M6"/>
    <mergeCell ref="A5:B5"/>
    <mergeCell ref="A7:B7"/>
    <mergeCell ref="A8:B8"/>
    <mergeCell ref="A9:B9"/>
    <mergeCell ref="A10:B10"/>
    <mergeCell ref="A11:B11"/>
    <mergeCell ref="A12:B12"/>
    <mergeCell ref="H19:M19"/>
    <mergeCell ref="H20:I20"/>
    <mergeCell ref="A13:B13"/>
    <mergeCell ref="A14:B14"/>
    <mergeCell ref="A15:B15"/>
    <mergeCell ref="A18:F18"/>
    <mergeCell ref="H18:M18"/>
    <mergeCell ref="A19:F19"/>
    <mergeCell ref="A20:B20"/>
    <mergeCell ref="A21:F21"/>
    <mergeCell ref="H21:M21"/>
    <mergeCell ref="A22:B22"/>
    <mergeCell ref="H22:I22"/>
    <mergeCell ref="A23:B23"/>
    <mergeCell ref="H23:I23"/>
    <mergeCell ref="H24:I24"/>
    <mergeCell ref="A24:B24"/>
    <mergeCell ref="A25:B25"/>
    <mergeCell ref="A26:B26"/>
    <mergeCell ref="A27:B27"/>
    <mergeCell ref="A28:B28"/>
    <mergeCell ref="A29:B29"/>
    <mergeCell ref="A33:F33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43"/>
    <col customWidth="1" min="2" max="2" width="31.57"/>
    <col customWidth="1" min="3" max="3" width="30.57"/>
    <col customWidth="1" min="4" max="4" width="25.43"/>
    <col customWidth="1" min="5" max="5" width="36.71"/>
    <col customWidth="1" min="6" max="6" width="38.0"/>
  </cols>
  <sheetData>
    <row r="1">
      <c r="A1" s="383" t="s">
        <v>2165</v>
      </c>
      <c r="B1" s="174"/>
      <c r="C1" s="174"/>
      <c r="D1" s="174"/>
      <c r="E1" s="174"/>
      <c r="F1" s="171"/>
    </row>
    <row r="2">
      <c r="A2" s="302"/>
      <c r="B2" s="34"/>
      <c r="C2" s="34"/>
      <c r="D2" s="34"/>
      <c r="E2" s="34"/>
      <c r="F2" s="79"/>
    </row>
    <row r="3">
      <c r="A3" s="384" t="s">
        <v>2166</v>
      </c>
      <c r="B3" s="385" t="s">
        <v>61</v>
      </c>
      <c r="C3" s="385" t="s">
        <v>1774</v>
      </c>
      <c r="D3" s="385" t="s">
        <v>2167</v>
      </c>
      <c r="E3" s="385" t="s">
        <v>2168</v>
      </c>
      <c r="F3" s="385" t="s">
        <v>2169</v>
      </c>
    </row>
    <row r="4">
      <c r="A4" s="386" t="s">
        <v>2170</v>
      </c>
      <c r="B4" s="387" t="s">
        <v>2171</v>
      </c>
      <c r="C4" s="387" t="s">
        <v>412</v>
      </c>
      <c r="D4" s="387" t="s">
        <v>2172</v>
      </c>
      <c r="E4" s="387" t="s">
        <v>2173</v>
      </c>
      <c r="F4" s="387"/>
    </row>
    <row r="5">
      <c r="A5" s="386"/>
      <c r="B5" s="387"/>
      <c r="C5" s="387"/>
      <c r="D5" s="387"/>
      <c r="E5" s="387"/>
      <c r="F5" s="387"/>
    </row>
    <row r="6">
      <c r="A6" s="386"/>
      <c r="B6" s="387"/>
      <c r="C6" s="387"/>
      <c r="D6" s="387"/>
      <c r="E6" s="387"/>
      <c r="F6" s="387"/>
    </row>
    <row r="7">
      <c r="A7" s="386"/>
      <c r="B7" s="387"/>
      <c r="C7" s="387"/>
      <c r="D7" s="387"/>
      <c r="E7" s="387"/>
      <c r="F7" s="387"/>
    </row>
    <row r="8">
      <c r="A8" s="386"/>
      <c r="B8" s="387"/>
      <c r="C8" s="387"/>
      <c r="D8" s="387"/>
      <c r="E8" s="387"/>
      <c r="F8" s="387"/>
    </row>
    <row r="9">
      <c r="A9" s="386"/>
      <c r="B9" s="387"/>
      <c r="C9" s="387"/>
      <c r="D9" s="387"/>
      <c r="E9" s="387"/>
      <c r="F9" s="387"/>
    </row>
    <row r="10">
      <c r="A10" s="386"/>
      <c r="B10" s="387"/>
      <c r="C10" s="387"/>
      <c r="D10" s="387"/>
      <c r="E10" s="387"/>
      <c r="F10" s="387"/>
    </row>
    <row r="11">
      <c r="A11" s="386"/>
      <c r="B11" s="387"/>
      <c r="C11" s="387"/>
      <c r="D11" s="387"/>
      <c r="E11" s="387"/>
      <c r="F11" s="387"/>
    </row>
    <row r="12">
      <c r="A12" s="386"/>
      <c r="B12" s="387"/>
      <c r="C12" s="387"/>
      <c r="D12" s="387"/>
      <c r="E12" s="387"/>
      <c r="F12" s="387"/>
    </row>
    <row r="13">
      <c r="A13" s="386"/>
      <c r="B13" s="387"/>
      <c r="C13" s="387"/>
      <c r="D13" s="387"/>
      <c r="E13" s="387"/>
      <c r="F13" s="387"/>
    </row>
    <row r="14">
      <c r="A14" s="386"/>
      <c r="B14" s="387"/>
      <c r="C14" s="387"/>
      <c r="D14" s="387"/>
      <c r="E14" s="387"/>
      <c r="F14" s="387"/>
    </row>
    <row r="15">
      <c r="A15" s="386"/>
      <c r="B15" s="387"/>
      <c r="C15" s="387"/>
      <c r="D15" s="387"/>
      <c r="E15" s="387"/>
      <c r="F15" s="387"/>
    </row>
    <row r="16">
      <c r="A16" s="386"/>
      <c r="B16" s="387"/>
      <c r="C16" s="387"/>
      <c r="D16" s="387"/>
      <c r="E16" s="387"/>
      <c r="F16" s="387"/>
    </row>
    <row r="17">
      <c r="A17" s="386"/>
      <c r="B17" s="387"/>
      <c r="C17" s="387"/>
      <c r="D17" s="387"/>
      <c r="E17" s="387"/>
      <c r="F17" s="387"/>
    </row>
    <row r="18">
      <c r="A18" s="386"/>
      <c r="B18" s="387"/>
      <c r="C18" s="387"/>
      <c r="D18" s="387"/>
      <c r="E18" s="387"/>
      <c r="F18" s="387"/>
    </row>
    <row r="19">
      <c r="A19" s="386"/>
      <c r="B19" s="387"/>
      <c r="C19" s="387"/>
      <c r="D19" s="387"/>
      <c r="E19" s="387"/>
      <c r="F19" s="387"/>
    </row>
    <row r="20">
      <c r="A20" s="386"/>
      <c r="B20" s="387"/>
      <c r="C20" s="387"/>
      <c r="D20" s="387"/>
      <c r="E20" s="387"/>
      <c r="F20" s="387"/>
    </row>
    <row r="21">
      <c r="A21" s="386"/>
      <c r="B21" s="387"/>
      <c r="C21" s="387"/>
      <c r="D21" s="387"/>
      <c r="E21" s="387"/>
      <c r="F21" s="387"/>
    </row>
    <row r="22">
      <c r="A22" s="386"/>
      <c r="B22" s="387"/>
      <c r="C22" s="387"/>
      <c r="D22" s="387"/>
      <c r="E22" s="387"/>
      <c r="F22" s="387"/>
    </row>
  </sheetData>
  <mergeCells count="1">
    <mergeCell ref="A1:F2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6.71"/>
    <col customWidth="1" min="3" max="3" width="11.71"/>
    <col customWidth="1" min="4" max="4" width="17.43"/>
    <col customWidth="1" min="7" max="7" width="36.29"/>
  </cols>
  <sheetData>
    <row r="1">
      <c r="L1" s="388" t="s">
        <v>2174</v>
      </c>
      <c r="M1" s="16"/>
      <c r="N1" s="16"/>
      <c r="O1" s="16"/>
      <c r="P1" s="16"/>
      <c r="Q1" s="17"/>
    </row>
    <row r="2">
      <c r="B2" s="18" t="s">
        <v>60</v>
      </c>
      <c r="C2" s="17"/>
      <c r="D2" s="19" t="s">
        <v>16</v>
      </c>
      <c r="E2" s="19" t="s">
        <v>17</v>
      </c>
      <c r="F2" s="19" t="s">
        <v>18</v>
      </c>
      <c r="G2" s="19" t="s">
        <v>19</v>
      </c>
      <c r="L2" s="18" t="s">
        <v>60</v>
      </c>
      <c r="M2" s="17"/>
      <c r="N2" s="19" t="s">
        <v>16</v>
      </c>
      <c r="O2" s="19" t="s">
        <v>17</v>
      </c>
      <c r="P2" s="19" t="s">
        <v>18</v>
      </c>
      <c r="Q2" s="19" t="s">
        <v>19</v>
      </c>
    </row>
    <row r="3">
      <c r="B3" s="389" t="s">
        <v>2175</v>
      </c>
      <c r="C3" s="16"/>
      <c r="D3" s="16"/>
      <c r="E3" s="16"/>
      <c r="F3" s="16"/>
      <c r="G3" s="17"/>
      <c r="L3" s="390" t="s">
        <v>2176</v>
      </c>
      <c r="M3" s="16"/>
      <c r="N3" s="16"/>
      <c r="O3" s="16"/>
      <c r="P3" s="16"/>
      <c r="Q3" s="17"/>
    </row>
    <row r="4">
      <c r="B4" s="200" t="s">
        <v>2177</v>
      </c>
      <c r="C4" s="17"/>
      <c r="D4" s="391" t="s">
        <v>2178</v>
      </c>
      <c r="E4" s="391">
        <v>74.0</v>
      </c>
      <c r="F4" s="391">
        <v>1.0</v>
      </c>
      <c r="G4" s="391"/>
      <c r="L4" s="200" t="s">
        <v>611</v>
      </c>
      <c r="M4" s="17"/>
      <c r="N4" s="391" t="s">
        <v>2179</v>
      </c>
      <c r="O4" s="391" t="s">
        <v>538</v>
      </c>
      <c r="P4" s="391">
        <v>2.0</v>
      </c>
      <c r="Q4" s="391"/>
    </row>
    <row r="5">
      <c r="B5" s="200" t="s">
        <v>2180</v>
      </c>
      <c r="C5" s="17"/>
      <c r="D5" s="391" t="s">
        <v>87</v>
      </c>
      <c r="E5" s="391" t="s">
        <v>200</v>
      </c>
      <c r="F5" s="391">
        <v>0.0</v>
      </c>
      <c r="G5" s="3" t="s">
        <v>2181</v>
      </c>
      <c r="H5" s="392">
        <v>45616.0</v>
      </c>
      <c r="L5" s="200" t="s">
        <v>227</v>
      </c>
      <c r="M5" s="17"/>
      <c r="N5" s="391" t="s">
        <v>21</v>
      </c>
      <c r="O5" s="391" t="s">
        <v>21</v>
      </c>
      <c r="P5" s="391">
        <v>1.0</v>
      </c>
      <c r="Q5" s="391"/>
    </row>
    <row r="6">
      <c r="B6" s="200" t="s">
        <v>2182</v>
      </c>
      <c r="C6" s="17"/>
      <c r="D6" s="391" t="s">
        <v>84</v>
      </c>
      <c r="E6" s="391" t="s">
        <v>21</v>
      </c>
      <c r="F6" s="391">
        <v>1.0</v>
      </c>
      <c r="G6" s="391"/>
      <c r="L6" s="200" t="s">
        <v>2183</v>
      </c>
      <c r="M6" s="17"/>
      <c r="N6" s="391" t="s">
        <v>2184</v>
      </c>
      <c r="O6" s="391" t="s">
        <v>1867</v>
      </c>
      <c r="P6" s="391">
        <v>1.0</v>
      </c>
      <c r="Q6" s="391"/>
    </row>
    <row r="7">
      <c r="B7" s="200" t="s">
        <v>1380</v>
      </c>
      <c r="C7" s="17"/>
      <c r="D7" s="391" t="s">
        <v>2185</v>
      </c>
      <c r="E7" s="391" t="s">
        <v>2013</v>
      </c>
      <c r="F7" s="391">
        <v>0.0</v>
      </c>
      <c r="G7" s="3" t="s">
        <v>2186</v>
      </c>
      <c r="H7" s="392">
        <v>45628.0</v>
      </c>
      <c r="L7" s="200" t="s">
        <v>2187</v>
      </c>
      <c r="M7" s="17"/>
      <c r="N7" s="391" t="s">
        <v>2188</v>
      </c>
      <c r="O7" s="391" t="s">
        <v>21</v>
      </c>
      <c r="P7" s="391">
        <v>1.0</v>
      </c>
      <c r="Q7" s="391"/>
    </row>
    <row r="8">
      <c r="B8" s="200" t="s">
        <v>2189</v>
      </c>
      <c r="C8" s="17"/>
      <c r="D8" s="391" t="s">
        <v>21</v>
      </c>
      <c r="E8" s="391" t="s">
        <v>21</v>
      </c>
      <c r="F8" s="391">
        <v>3.0</v>
      </c>
      <c r="G8" s="391"/>
      <c r="L8" s="200" t="s">
        <v>103</v>
      </c>
      <c r="M8" s="17"/>
      <c r="N8" s="391" t="s">
        <v>222</v>
      </c>
      <c r="O8" s="391" t="s">
        <v>21</v>
      </c>
      <c r="P8" s="391">
        <v>1.0</v>
      </c>
      <c r="Q8" s="391"/>
    </row>
    <row r="9">
      <c r="B9" s="200" t="s">
        <v>1069</v>
      </c>
      <c r="C9" s="17"/>
      <c r="D9" s="391" t="s">
        <v>84</v>
      </c>
      <c r="E9" s="391" t="s">
        <v>21</v>
      </c>
      <c r="F9" s="391">
        <v>1.0</v>
      </c>
      <c r="G9" s="3" t="s">
        <v>2190</v>
      </c>
      <c r="H9" s="393">
        <v>45614.0</v>
      </c>
      <c r="L9" s="200" t="s">
        <v>206</v>
      </c>
      <c r="M9" s="17"/>
      <c r="N9" s="391" t="s">
        <v>87</v>
      </c>
      <c r="O9" s="391" t="s">
        <v>404</v>
      </c>
      <c r="P9" s="391">
        <v>1.0</v>
      </c>
      <c r="Q9" s="391"/>
    </row>
    <row r="10">
      <c r="B10" s="200" t="s">
        <v>1069</v>
      </c>
      <c r="C10" s="17"/>
      <c r="D10" s="394" t="s">
        <v>2191</v>
      </c>
      <c r="E10" s="394" t="s">
        <v>21</v>
      </c>
      <c r="F10" s="394">
        <v>1.0</v>
      </c>
      <c r="G10" s="394"/>
      <c r="L10" s="200" t="s">
        <v>2192</v>
      </c>
      <c r="M10" s="17"/>
      <c r="N10" s="394" t="s">
        <v>2191</v>
      </c>
      <c r="O10" s="394" t="s">
        <v>21</v>
      </c>
      <c r="P10" s="394">
        <v>2.0</v>
      </c>
      <c r="Q10" s="394"/>
    </row>
    <row r="11">
      <c r="B11" s="283" t="s">
        <v>256</v>
      </c>
      <c r="C11" s="17"/>
      <c r="D11" s="391"/>
      <c r="E11" s="391"/>
      <c r="F11" s="391">
        <f>SUM(F4:F10)</f>
        <v>7</v>
      </c>
      <c r="G11" s="391"/>
      <c r="L11" s="200" t="s">
        <v>223</v>
      </c>
      <c r="M11" s="17"/>
      <c r="N11" s="391" t="s">
        <v>21</v>
      </c>
      <c r="O11" s="391" t="s">
        <v>21</v>
      </c>
      <c r="P11" s="391">
        <v>1.0</v>
      </c>
      <c r="Q11" s="391"/>
    </row>
    <row r="12">
      <c r="B12" s="200" t="s">
        <v>2193</v>
      </c>
      <c r="C12" s="17"/>
      <c r="D12" s="391" t="s">
        <v>21</v>
      </c>
      <c r="E12" s="391" t="s">
        <v>21</v>
      </c>
      <c r="F12" s="391">
        <v>1.0</v>
      </c>
      <c r="G12" s="391"/>
      <c r="L12" s="200" t="s">
        <v>2194</v>
      </c>
      <c r="M12" s="17"/>
      <c r="N12" s="391" t="s">
        <v>21</v>
      </c>
      <c r="O12" s="391" t="s">
        <v>21</v>
      </c>
      <c r="P12" s="391">
        <v>2.0</v>
      </c>
      <c r="Q12" s="391"/>
    </row>
    <row r="13">
      <c r="B13" s="200" t="s">
        <v>883</v>
      </c>
      <c r="C13" s="17"/>
      <c r="D13" s="391" t="s">
        <v>21</v>
      </c>
      <c r="E13" s="391" t="s">
        <v>21</v>
      </c>
      <c r="F13" s="391">
        <v>1.0</v>
      </c>
      <c r="G13" s="391"/>
      <c r="L13" s="200" t="s">
        <v>310</v>
      </c>
      <c r="M13" s="17"/>
      <c r="N13" s="391" t="s">
        <v>21</v>
      </c>
      <c r="O13" s="391" t="s">
        <v>21</v>
      </c>
      <c r="P13" s="391">
        <v>2.0</v>
      </c>
      <c r="Q13" s="391"/>
    </row>
    <row r="14">
      <c r="B14" s="200" t="s">
        <v>2195</v>
      </c>
      <c r="C14" s="17"/>
      <c r="D14" s="391" t="s">
        <v>75</v>
      </c>
      <c r="E14" s="391" t="s">
        <v>2196</v>
      </c>
      <c r="F14" s="391">
        <v>1.0</v>
      </c>
      <c r="G14" s="391"/>
      <c r="L14" s="200" t="s">
        <v>1069</v>
      </c>
      <c r="M14" s="17"/>
      <c r="N14" s="391" t="s">
        <v>84</v>
      </c>
      <c r="O14" s="391" t="s">
        <v>21</v>
      </c>
      <c r="P14" s="391">
        <v>1.0</v>
      </c>
      <c r="Q14" s="391"/>
    </row>
    <row r="15">
      <c r="B15" s="200" t="s">
        <v>1050</v>
      </c>
      <c r="C15" s="17"/>
      <c r="D15" s="391" t="s">
        <v>21</v>
      </c>
      <c r="E15" s="391" t="s">
        <v>21</v>
      </c>
      <c r="F15" s="391">
        <v>5.0</v>
      </c>
      <c r="G15" s="391"/>
      <c r="L15" s="200" t="s">
        <v>287</v>
      </c>
      <c r="M15" s="17"/>
      <c r="N15" s="391" t="s">
        <v>21</v>
      </c>
      <c r="O15" s="391" t="s">
        <v>21</v>
      </c>
      <c r="P15" s="391">
        <v>1.0</v>
      </c>
      <c r="Q15" s="391"/>
    </row>
    <row r="16">
      <c r="B16" s="200" t="s">
        <v>223</v>
      </c>
      <c r="C16" s="17"/>
      <c r="D16" s="391" t="s">
        <v>868</v>
      </c>
      <c r="E16" s="391" t="s">
        <v>100</v>
      </c>
      <c r="F16" s="391">
        <v>1.0</v>
      </c>
      <c r="G16" s="391"/>
      <c r="L16" s="200" t="s">
        <v>2197</v>
      </c>
      <c r="M16" s="17"/>
      <c r="N16" s="391" t="s">
        <v>21</v>
      </c>
      <c r="O16" s="391" t="s">
        <v>21</v>
      </c>
      <c r="P16" s="391">
        <v>2.0</v>
      </c>
      <c r="Q16" s="391"/>
    </row>
    <row r="17">
      <c r="B17" s="200" t="s">
        <v>2198</v>
      </c>
      <c r="C17" s="17"/>
      <c r="D17" s="391" t="s">
        <v>868</v>
      </c>
      <c r="E17" s="391" t="s">
        <v>2199</v>
      </c>
      <c r="F17" s="391">
        <v>1.0</v>
      </c>
      <c r="G17" s="391"/>
      <c r="L17" s="283" t="s">
        <v>38</v>
      </c>
      <c r="M17" s="17"/>
      <c r="N17" s="391"/>
      <c r="O17" s="391"/>
      <c r="P17" s="391">
        <v>18.0</v>
      </c>
      <c r="Q17" s="391"/>
    </row>
    <row r="18">
      <c r="B18" s="200" t="s">
        <v>310</v>
      </c>
      <c r="C18" s="17"/>
      <c r="D18" s="394" t="s">
        <v>2191</v>
      </c>
      <c r="E18" s="394" t="s">
        <v>21</v>
      </c>
      <c r="F18" s="394">
        <v>4.0</v>
      </c>
      <c r="G18" s="394" t="s">
        <v>2200</v>
      </c>
      <c r="L18" s="395"/>
      <c r="N18" s="395"/>
      <c r="O18" s="395"/>
      <c r="P18" s="395"/>
      <c r="Q18" s="395"/>
    </row>
    <row r="19">
      <c r="B19" s="200" t="s">
        <v>407</v>
      </c>
      <c r="C19" s="17"/>
      <c r="D19" s="391" t="s">
        <v>75</v>
      </c>
      <c r="E19" s="391" t="s">
        <v>2201</v>
      </c>
      <c r="F19" s="391">
        <v>1.0</v>
      </c>
      <c r="G19" s="391" t="s">
        <v>2202</v>
      </c>
      <c r="L19" s="395"/>
      <c r="N19" s="395"/>
      <c r="O19" s="395"/>
      <c r="P19" s="395"/>
      <c r="Q19" s="395"/>
    </row>
    <row r="20">
      <c r="B20" s="200" t="s">
        <v>1069</v>
      </c>
      <c r="C20" s="17"/>
      <c r="D20" s="391" t="s">
        <v>21</v>
      </c>
      <c r="E20" s="391" t="s">
        <v>21</v>
      </c>
      <c r="F20" s="391">
        <v>1.0</v>
      </c>
      <c r="G20" s="391"/>
      <c r="L20" s="18" t="s">
        <v>60</v>
      </c>
      <c r="M20" s="17"/>
      <c r="N20" s="19" t="s">
        <v>16</v>
      </c>
      <c r="O20" s="19" t="s">
        <v>17</v>
      </c>
      <c r="P20" s="19" t="s">
        <v>18</v>
      </c>
      <c r="Q20" s="19" t="s">
        <v>19</v>
      </c>
    </row>
    <row r="21">
      <c r="B21" s="200" t="s">
        <v>130</v>
      </c>
      <c r="C21" s="17"/>
      <c r="D21" s="391" t="s">
        <v>21</v>
      </c>
      <c r="E21" s="391" t="s">
        <v>21</v>
      </c>
      <c r="F21" s="391">
        <v>1.0</v>
      </c>
      <c r="G21" s="391"/>
      <c r="L21" s="390" t="s">
        <v>2203</v>
      </c>
      <c r="M21" s="16"/>
      <c r="N21" s="16"/>
      <c r="O21" s="16"/>
      <c r="P21" s="16"/>
      <c r="Q21" s="17"/>
    </row>
    <row r="22">
      <c r="B22" s="283" t="s">
        <v>38</v>
      </c>
      <c r="C22" s="17"/>
      <c r="D22" s="391"/>
      <c r="E22" s="391"/>
      <c r="F22" s="391">
        <f>SUM(F12:F21)</f>
        <v>17</v>
      </c>
      <c r="G22" s="391"/>
      <c r="L22" s="200" t="s">
        <v>2204</v>
      </c>
      <c r="M22" s="17"/>
      <c r="N22" s="391" t="s">
        <v>87</v>
      </c>
      <c r="O22" s="391" t="s">
        <v>2205</v>
      </c>
      <c r="P22" s="391">
        <v>2.0</v>
      </c>
      <c r="Q22" s="391"/>
    </row>
    <row r="23">
      <c r="B23" s="200" t="s">
        <v>1205</v>
      </c>
      <c r="C23" s="17"/>
      <c r="D23" s="391" t="s">
        <v>118</v>
      </c>
      <c r="E23" s="391" t="s">
        <v>2206</v>
      </c>
      <c r="F23" s="391">
        <v>1.0</v>
      </c>
      <c r="G23" s="391"/>
      <c r="L23" s="200" t="s">
        <v>2207</v>
      </c>
      <c r="M23" s="17"/>
      <c r="N23" s="391" t="s">
        <v>84</v>
      </c>
      <c r="O23" s="391" t="s">
        <v>21</v>
      </c>
      <c r="P23" s="391">
        <v>2.0</v>
      </c>
      <c r="Q23" s="391"/>
    </row>
    <row r="24">
      <c r="B24" s="200" t="s">
        <v>2208</v>
      </c>
      <c r="C24" s="17"/>
      <c r="D24" s="391" t="s">
        <v>2209</v>
      </c>
      <c r="E24" s="391" t="s">
        <v>21</v>
      </c>
      <c r="F24" s="391">
        <v>1.0</v>
      </c>
      <c r="G24" s="391"/>
      <c r="L24" s="200" t="s">
        <v>2210</v>
      </c>
      <c r="M24" s="17"/>
      <c r="N24" s="391" t="s">
        <v>87</v>
      </c>
      <c r="O24" s="391" t="s">
        <v>2211</v>
      </c>
      <c r="P24" s="391">
        <v>1.0</v>
      </c>
      <c r="Q24" s="391"/>
    </row>
    <row r="25">
      <c r="B25" s="200" t="s">
        <v>1069</v>
      </c>
      <c r="C25" s="17"/>
      <c r="D25" s="391" t="s">
        <v>87</v>
      </c>
      <c r="E25" s="391" t="s">
        <v>159</v>
      </c>
      <c r="F25" s="391">
        <v>1.0</v>
      </c>
      <c r="G25" s="3" t="s">
        <v>2202</v>
      </c>
      <c r="L25" s="200" t="s">
        <v>2212</v>
      </c>
      <c r="M25" s="17"/>
      <c r="N25" s="391" t="s">
        <v>87</v>
      </c>
      <c r="O25" s="391" t="s">
        <v>2213</v>
      </c>
      <c r="P25" s="391">
        <v>2.0</v>
      </c>
      <c r="Q25" s="391"/>
    </row>
    <row r="26">
      <c r="B26" s="200" t="s">
        <v>1069</v>
      </c>
      <c r="C26" s="17"/>
      <c r="D26" s="391" t="s">
        <v>21</v>
      </c>
      <c r="E26" s="391" t="s">
        <v>21</v>
      </c>
      <c r="F26" s="391">
        <v>1.0</v>
      </c>
      <c r="G26" s="3" t="s">
        <v>2202</v>
      </c>
      <c r="L26" s="200" t="s">
        <v>2214</v>
      </c>
      <c r="M26" s="17"/>
      <c r="N26" s="391" t="s">
        <v>87</v>
      </c>
      <c r="O26" s="391" t="s">
        <v>2215</v>
      </c>
      <c r="P26" s="391">
        <v>1.0</v>
      </c>
      <c r="Q26" s="391"/>
    </row>
    <row r="27">
      <c r="B27" s="200" t="s">
        <v>223</v>
      </c>
      <c r="C27" s="17"/>
      <c r="D27" s="391" t="s">
        <v>868</v>
      </c>
      <c r="E27" s="391" t="s">
        <v>100</v>
      </c>
      <c r="F27" s="391">
        <v>1.0</v>
      </c>
      <c r="G27" s="3"/>
      <c r="L27" s="200" t="s">
        <v>2216</v>
      </c>
      <c r="M27" s="17"/>
      <c r="N27" s="391" t="s">
        <v>87</v>
      </c>
      <c r="O27" s="391" t="s">
        <v>2217</v>
      </c>
      <c r="P27" s="391">
        <v>1.0</v>
      </c>
      <c r="Q27" s="391"/>
    </row>
    <row r="28">
      <c r="B28" s="200" t="s">
        <v>223</v>
      </c>
      <c r="C28" s="17"/>
      <c r="D28" s="391" t="s">
        <v>87</v>
      </c>
      <c r="E28" s="391" t="s">
        <v>292</v>
      </c>
      <c r="F28" s="391">
        <v>0.0</v>
      </c>
      <c r="G28" s="3" t="s">
        <v>2190</v>
      </c>
      <c r="L28" s="200" t="s">
        <v>2218</v>
      </c>
      <c r="M28" s="17"/>
      <c r="N28" s="394" t="s">
        <v>87</v>
      </c>
      <c r="O28" s="394" t="s">
        <v>2219</v>
      </c>
      <c r="P28" s="394">
        <v>1.0</v>
      </c>
      <c r="Q28" s="394" t="s">
        <v>1149</v>
      </c>
    </row>
    <row r="29">
      <c r="B29" s="200" t="s">
        <v>287</v>
      </c>
      <c r="C29" s="17"/>
      <c r="D29" s="394" t="s">
        <v>87</v>
      </c>
      <c r="E29" s="394" t="s">
        <v>948</v>
      </c>
      <c r="F29" s="394">
        <v>1.0</v>
      </c>
      <c r="G29" s="396"/>
      <c r="L29" s="200" t="s">
        <v>1679</v>
      </c>
      <c r="M29" s="17"/>
      <c r="N29" s="391" t="s">
        <v>220</v>
      </c>
      <c r="O29" s="391" t="s">
        <v>221</v>
      </c>
      <c r="P29" s="391">
        <v>1.0</v>
      </c>
      <c r="Q29" s="391"/>
    </row>
    <row r="30">
      <c r="B30" s="200" t="s">
        <v>2220</v>
      </c>
      <c r="C30" s="17"/>
      <c r="D30" s="391" t="s">
        <v>21</v>
      </c>
      <c r="E30" s="391" t="s">
        <v>21</v>
      </c>
      <c r="F30" s="391">
        <v>1.0</v>
      </c>
      <c r="G30" s="3"/>
      <c r="L30" s="200" t="s">
        <v>2221</v>
      </c>
      <c r="M30" s="17"/>
      <c r="N30" s="391" t="s">
        <v>87</v>
      </c>
      <c r="O30" s="397">
        <v>1163999.0</v>
      </c>
      <c r="P30" s="391">
        <v>1.0</v>
      </c>
      <c r="Q30" s="391"/>
    </row>
    <row r="31">
      <c r="B31" s="200" t="s">
        <v>2222</v>
      </c>
      <c r="C31" s="17"/>
      <c r="D31" s="391" t="s">
        <v>21</v>
      </c>
      <c r="E31" s="391" t="s">
        <v>21</v>
      </c>
      <c r="F31" s="391">
        <v>1.0</v>
      </c>
      <c r="G31" s="3"/>
      <c r="L31" s="200" t="s">
        <v>2223</v>
      </c>
      <c r="M31" s="17"/>
      <c r="N31" s="391" t="s">
        <v>75</v>
      </c>
      <c r="O31" s="391" t="s">
        <v>610</v>
      </c>
      <c r="P31" s="391">
        <v>1.0</v>
      </c>
      <c r="Q31" s="391"/>
    </row>
    <row r="32">
      <c r="B32" s="200" t="s">
        <v>2224</v>
      </c>
      <c r="C32" s="17"/>
      <c r="D32" s="391" t="s">
        <v>21</v>
      </c>
      <c r="E32" s="391" t="s">
        <v>21</v>
      </c>
      <c r="F32" s="391">
        <v>0.0</v>
      </c>
      <c r="G32" s="3" t="s">
        <v>2190</v>
      </c>
      <c r="L32" s="200" t="s">
        <v>2225</v>
      </c>
      <c r="M32" s="17"/>
      <c r="N32" s="391" t="s">
        <v>87</v>
      </c>
      <c r="O32" s="397">
        <v>1200523.0</v>
      </c>
      <c r="P32" s="391">
        <v>1.0</v>
      </c>
      <c r="Q32" s="391"/>
    </row>
    <row r="33">
      <c r="B33" s="200" t="s">
        <v>2226</v>
      </c>
      <c r="C33" s="17"/>
      <c r="D33" s="391" t="s">
        <v>21</v>
      </c>
      <c r="E33" s="391" t="s">
        <v>21</v>
      </c>
      <c r="F33" s="391">
        <v>1.0</v>
      </c>
      <c r="G33" s="391"/>
      <c r="L33" s="200" t="s">
        <v>2227</v>
      </c>
      <c r="M33" s="17"/>
      <c r="N33" s="391" t="s">
        <v>21</v>
      </c>
      <c r="O33" s="391" t="s">
        <v>21</v>
      </c>
      <c r="P33" s="391">
        <v>1.0</v>
      </c>
      <c r="Q33" s="391"/>
    </row>
    <row r="34">
      <c r="B34" s="283" t="s">
        <v>38</v>
      </c>
      <c r="C34" s="17"/>
      <c r="D34" s="391"/>
      <c r="E34" s="391"/>
      <c r="F34" s="391">
        <f>SUM(F23:F33)</f>
        <v>9</v>
      </c>
      <c r="G34" s="391"/>
      <c r="L34" s="200" t="s">
        <v>151</v>
      </c>
      <c r="M34" s="17"/>
      <c r="N34" s="391" t="s">
        <v>2179</v>
      </c>
      <c r="O34" s="391" t="s">
        <v>121</v>
      </c>
      <c r="P34" s="391">
        <v>0.0</v>
      </c>
      <c r="Q34" s="46" t="s">
        <v>2190</v>
      </c>
      <c r="R34" s="24" t="s">
        <v>2228</v>
      </c>
    </row>
    <row r="35">
      <c r="B35" s="200" t="s">
        <v>2229</v>
      </c>
      <c r="C35" s="17"/>
      <c r="D35" s="391" t="s">
        <v>21</v>
      </c>
      <c r="E35" s="391" t="s">
        <v>21</v>
      </c>
      <c r="F35" s="391">
        <v>5.0</v>
      </c>
      <c r="G35" s="391"/>
      <c r="L35" s="200" t="s">
        <v>2230</v>
      </c>
      <c r="M35" s="17"/>
      <c r="N35" s="391" t="s">
        <v>205</v>
      </c>
      <c r="O35" s="391" t="s">
        <v>2231</v>
      </c>
      <c r="P35" s="391">
        <v>1.0</v>
      </c>
      <c r="Q35" s="391"/>
    </row>
    <row r="36">
      <c r="B36" s="200" t="s">
        <v>1069</v>
      </c>
      <c r="C36" s="17"/>
      <c r="D36" s="391" t="s">
        <v>21</v>
      </c>
      <c r="E36" s="391" t="s">
        <v>21</v>
      </c>
      <c r="F36" s="391">
        <v>2.0</v>
      </c>
      <c r="G36" s="391"/>
      <c r="L36" s="200" t="s">
        <v>2232</v>
      </c>
      <c r="M36" s="17"/>
      <c r="N36" s="391" t="s">
        <v>87</v>
      </c>
      <c r="O36" s="397">
        <v>1497831.0</v>
      </c>
      <c r="P36" s="391">
        <v>1.0</v>
      </c>
      <c r="Q36" s="4"/>
    </row>
    <row r="37">
      <c r="B37" s="200" t="s">
        <v>310</v>
      </c>
      <c r="C37" s="17"/>
      <c r="D37" s="391" t="s">
        <v>21</v>
      </c>
      <c r="E37" s="391" t="s">
        <v>21</v>
      </c>
      <c r="F37" s="391">
        <v>5.0</v>
      </c>
      <c r="G37" s="46" t="s">
        <v>2233</v>
      </c>
      <c r="L37" s="200" t="s">
        <v>2234</v>
      </c>
      <c r="M37" s="17"/>
      <c r="N37" s="391" t="s">
        <v>21</v>
      </c>
      <c r="O37" s="391" t="s">
        <v>21</v>
      </c>
      <c r="P37" s="391">
        <v>1.0</v>
      </c>
      <c r="Q37" s="4"/>
    </row>
    <row r="38">
      <c r="B38" s="200" t="s">
        <v>287</v>
      </c>
      <c r="C38" s="17"/>
      <c r="D38" s="391" t="s">
        <v>21</v>
      </c>
      <c r="E38" s="391" t="s">
        <v>21</v>
      </c>
      <c r="F38" s="391">
        <v>1.0</v>
      </c>
      <c r="G38" s="391"/>
      <c r="L38" s="200" t="s">
        <v>2235</v>
      </c>
      <c r="M38" s="17"/>
      <c r="N38" s="391" t="s">
        <v>21</v>
      </c>
      <c r="O38" s="391" t="s">
        <v>21</v>
      </c>
      <c r="P38" s="391">
        <v>1.0</v>
      </c>
      <c r="Q38" s="4"/>
    </row>
    <row r="39">
      <c r="B39" s="200" t="s">
        <v>425</v>
      </c>
      <c r="C39" s="17"/>
      <c r="D39" s="391" t="s">
        <v>21</v>
      </c>
      <c r="E39" s="391" t="s">
        <v>21</v>
      </c>
      <c r="F39" s="391">
        <v>1.0</v>
      </c>
      <c r="G39" s="391" t="s">
        <v>2236</v>
      </c>
      <c r="L39" s="200" t="s">
        <v>2237</v>
      </c>
      <c r="M39" s="17"/>
      <c r="N39" s="391" t="s">
        <v>21</v>
      </c>
      <c r="O39" s="391" t="s">
        <v>21</v>
      </c>
      <c r="P39" s="391">
        <v>1.0</v>
      </c>
      <c r="Q39" s="4"/>
    </row>
    <row r="40">
      <c r="B40" s="200" t="s">
        <v>2238</v>
      </c>
      <c r="C40" s="17"/>
      <c r="D40" s="391" t="s">
        <v>21</v>
      </c>
      <c r="E40" s="391" t="s">
        <v>21</v>
      </c>
      <c r="F40" s="391">
        <v>4.0</v>
      </c>
      <c r="G40" s="391"/>
      <c r="L40" s="283" t="s">
        <v>38</v>
      </c>
      <c r="M40" s="17"/>
      <c r="N40" s="391"/>
      <c r="O40" s="391"/>
      <c r="P40" s="391">
        <v>21.0</v>
      </c>
      <c r="Q40" s="4"/>
    </row>
    <row r="41">
      <c r="B41" s="200" t="s">
        <v>2239</v>
      </c>
      <c r="C41" s="17"/>
      <c r="D41" s="394" t="s">
        <v>21</v>
      </c>
      <c r="E41" s="394" t="s">
        <v>21</v>
      </c>
      <c r="F41" s="394">
        <v>2.0</v>
      </c>
      <c r="G41" s="394"/>
    </row>
    <row r="42">
      <c r="B42" s="200" t="s">
        <v>311</v>
      </c>
      <c r="C42" s="17"/>
      <c r="D42" s="391" t="s">
        <v>21</v>
      </c>
      <c r="E42" s="391" t="s">
        <v>21</v>
      </c>
      <c r="F42" s="391">
        <v>1.0</v>
      </c>
      <c r="G42" s="391"/>
    </row>
    <row r="43">
      <c r="B43" s="200" t="s">
        <v>2240</v>
      </c>
      <c r="C43" s="17"/>
      <c r="D43" s="391" t="s">
        <v>21</v>
      </c>
      <c r="E43" s="391" t="s">
        <v>21</v>
      </c>
      <c r="F43" s="391">
        <v>1.0</v>
      </c>
      <c r="G43" s="391"/>
    </row>
    <row r="44">
      <c r="B44" s="200" t="s">
        <v>2241</v>
      </c>
      <c r="C44" s="17"/>
      <c r="D44" s="391" t="s">
        <v>21</v>
      </c>
      <c r="E44" s="391" t="s">
        <v>21</v>
      </c>
      <c r="F44" s="391">
        <v>1.0</v>
      </c>
      <c r="G44" s="391"/>
    </row>
    <row r="45">
      <c r="B45" s="200" t="s">
        <v>2242</v>
      </c>
      <c r="C45" s="17"/>
      <c r="D45" s="391" t="s">
        <v>21</v>
      </c>
      <c r="E45" s="391" t="s">
        <v>21</v>
      </c>
      <c r="F45" s="391">
        <v>1.0</v>
      </c>
      <c r="G45" s="391"/>
    </row>
    <row r="46">
      <c r="B46" s="283" t="s">
        <v>311</v>
      </c>
      <c r="C46" s="17"/>
      <c r="D46" s="391"/>
      <c r="E46" s="391"/>
      <c r="F46" s="391">
        <v>1.0</v>
      </c>
      <c r="G46" s="391"/>
    </row>
    <row r="47">
      <c r="B47" s="200" t="s">
        <v>406</v>
      </c>
      <c r="C47" s="17"/>
      <c r="D47" s="4"/>
      <c r="E47" s="4"/>
      <c r="F47" s="391">
        <v>2.0</v>
      </c>
      <c r="G47" s="4"/>
    </row>
    <row r="48">
      <c r="B48" s="200" t="s">
        <v>546</v>
      </c>
      <c r="C48" s="17"/>
      <c r="D48" s="391"/>
      <c r="E48" s="391"/>
      <c r="F48" s="391">
        <v>2.0</v>
      </c>
      <c r="G48" s="391"/>
    </row>
    <row r="49">
      <c r="B49" s="200" t="s">
        <v>2243</v>
      </c>
      <c r="C49" s="17"/>
      <c r="D49" s="391"/>
      <c r="E49" s="391"/>
      <c r="F49" s="391">
        <v>1.0</v>
      </c>
      <c r="G49" s="391"/>
    </row>
    <row r="50">
      <c r="B50" s="200" t="s">
        <v>98</v>
      </c>
      <c r="C50" s="17"/>
      <c r="D50" s="391" t="s">
        <v>87</v>
      </c>
      <c r="E50" s="391"/>
      <c r="F50" s="391" t="s">
        <v>292</v>
      </c>
      <c r="G50" s="391"/>
    </row>
    <row r="51">
      <c r="B51" s="200" t="s">
        <v>969</v>
      </c>
      <c r="C51" s="17"/>
      <c r="D51" s="391" t="s">
        <v>21</v>
      </c>
      <c r="E51" s="391" t="s">
        <v>21</v>
      </c>
      <c r="F51" s="391">
        <v>1.0</v>
      </c>
      <c r="G51" s="391"/>
    </row>
    <row r="52">
      <c r="B52" s="200"/>
      <c r="C52" s="17"/>
      <c r="D52" s="391"/>
      <c r="E52" s="391"/>
      <c r="F52" s="391"/>
      <c r="G52" s="391"/>
    </row>
    <row r="56">
      <c r="B56" s="395"/>
      <c r="D56" s="395"/>
      <c r="E56" s="395"/>
      <c r="F56" s="395"/>
      <c r="G56" s="395"/>
    </row>
    <row r="57">
      <c r="B57" s="398"/>
      <c r="D57" s="395"/>
      <c r="E57" s="395"/>
      <c r="F57" s="395"/>
      <c r="G57" s="395"/>
    </row>
    <row r="58">
      <c r="B58" s="18" t="s">
        <v>60</v>
      </c>
      <c r="C58" s="17"/>
      <c r="D58" s="19" t="s">
        <v>16</v>
      </c>
      <c r="E58" s="19" t="s">
        <v>17</v>
      </c>
      <c r="F58" s="19" t="s">
        <v>18</v>
      </c>
      <c r="G58" s="19" t="s">
        <v>19</v>
      </c>
    </row>
    <row r="59">
      <c r="B59" s="390" t="s">
        <v>2244</v>
      </c>
      <c r="C59" s="16"/>
      <c r="D59" s="16"/>
      <c r="E59" s="16"/>
      <c r="F59" s="16"/>
      <c r="G59" s="17"/>
    </row>
    <row r="60">
      <c r="B60" s="200" t="s">
        <v>2245</v>
      </c>
      <c r="C60" s="17"/>
      <c r="D60" s="391" t="s">
        <v>21</v>
      </c>
      <c r="E60" s="391" t="s">
        <v>21</v>
      </c>
      <c r="F60" s="391">
        <v>5.0</v>
      </c>
      <c r="G60" s="391" t="s">
        <v>2246</v>
      </c>
    </row>
    <row r="61">
      <c r="B61" s="200" t="s">
        <v>206</v>
      </c>
      <c r="C61" s="17"/>
      <c r="D61" s="391" t="s">
        <v>21</v>
      </c>
      <c r="E61" s="391" t="s">
        <v>21</v>
      </c>
      <c r="F61" s="391">
        <v>1.0</v>
      </c>
      <c r="G61" s="391"/>
    </row>
    <row r="62">
      <c r="G62" s="391"/>
    </row>
    <row r="63">
      <c r="B63" s="200" t="s">
        <v>2247</v>
      </c>
      <c r="C63" s="17"/>
      <c r="D63" s="391" t="s">
        <v>21</v>
      </c>
      <c r="E63" s="391" t="s">
        <v>21</v>
      </c>
      <c r="F63" s="391">
        <v>1.0</v>
      </c>
      <c r="G63" s="391"/>
    </row>
    <row r="64">
      <c r="B64" s="200" t="s">
        <v>223</v>
      </c>
      <c r="C64" s="17"/>
      <c r="D64" s="391" t="s">
        <v>21</v>
      </c>
      <c r="E64" s="391" t="s">
        <v>21</v>
      </c>
      <c r="F64" s="391">
        <v>1.0</v>
      </c>
      <c r="G64" s="391"/>
    </row>
    <row r="65">
      <c r="B65" s="200" t="s">
        <v>425</v>
      </c>
      <c r="C65" s="17"/>
      <c r="D65" s="391" t="s">
        <v>87</v>
      </c>
      <c r="E65" s="391" t="s">
        <v>200</v>
      </c>
      <c r="F65" s="391">
        <v>1.0</v>
      </c>
      <c r="G65" s="391" t="s">
        <v>2248</v>
      </c>
    </row>
    <row r="66">
      <c r="B66" s="200" t="s">
        <v>2249</v>
      </c>
      <c r="C66" s="17"/>
      <c r="D66" s="394" t="s">
        <v>21</v>
      </c>
      <c r="E66" s="394" t="s">
        <v>21</v>
      </c>
      <c r="F66" s="394">
        <v>1.0</v>
      </c>
      <c r="G66" s="394"/>
    </row>
    <row r="67">
      <c r="B67" s="200" t="s">
        <v>425</v>
      </c>
      <c r="C67" s="17"/>
      <c r="D67" s="391" t="s">
        <v>84</v>
      </c>
      <c r="E67" s="391" t="s">
        <v>21</v>
      </c>
      <c r="F67" s="391">
        <v>1.0</v>
      </c>
      <c r="G67" s="391" t="s">
        <v>299</v>
      </c>
    </row>
    <row r="68">
      <c r="B68" s="200" t="s">
        <v>2250</v>
      </c>
      <c r="C68" s="17"/>
      <c r="D68" s="391" t="s">
        <v>87</v>
      </c>
      <c r="E68" s="391" t="s">
        <v>2251</v>
      </c>
      <c r="F68" s="391">
        <v>1.0</v>
      </c>
      <c r="G68" s="391" t="s">
        <v>2248</v>
      </c>
    </row>
    <row r="69">
      <c r="B69" s="200" t="s">
        <v>425</v>
      </c>
      <c r="C69" s="17"/>
      <c r="D69" s="391" t="s">
        <v>75</v>
      </c>
      <c r="E69" s="391" t="s">
        <v>325</v>
      </c>
      <c r="F69" s="391">
        <v>2.0</v>
      </c>
      <c r="G69" s="391"/>
    </row>
    <row r="70">
      <c r="B70" s="200" t="s">
        <v>2252</v>
      </c>
      <c r="C70" s="17"/>
      <c r="D70" s="391" t="s">
        <v>87</v>
      </c>
      <c r="E70" s="391" t="s">
        <v>2253</v>
      </c>
      <c r="F70" s="391">
        <v>1.0</v>
      </c>
      <c r="G70" s="391"/>
    </row>
    <row r="71">
      <c r="B71" s="200"/>
      <c r="C71" s="17"/>
      <c r="D71" s="391"/>
      <c r="E71" s="391"/>
      <c r="F71" s="391"/>
      <c r="G71" s="391"/>
    </row>
    <row r="72">
      <c r="B72" s="200" t="s">
        <v>91</v>
      </c>
      <c r="C72" s="17"/>
      <c r="D72" s="391" t="s">
        <v>21</v>
      </c>
      <c r="E72" s="391" t="s">
        <v>21</v>
      </c>
      <c r="F72" s="391">
        <v>2.0</v>
      </c>
      <c r="G72" s="391"/>
    </row>
    <row r="73">
      <c r="B73" s="200" t="s">
        <v>2254</v>
      </c>
      <c r="C73" s="17"/>
      <c r="D73" s="391" t="s">
        <v>21</v>
      </c>
      <c r="E73" s="391" t="s">
        <v>21</v>
      </c>
      <c r="F73" s="391">
        <v>1.0</v>
      </c>
      <c r="G73" s="391"/>
    </row>
    <row r="74">
      <c r="B74" s="200" t="s">
        <v>2255</v>
      </c>
      <c r="C74" s="17"/>
      <c r="D74" s="391" t="s">
        <v>21</v>
      </c>
      <c r="E74" s="391" t="s">
        <v>21</v>
      </c>
      <c r="F74" s="391">
        <v>1.0</v>
      </c>
      <c r="G74" s="391"/>
    </row>
    <row r="75">
      <c r="B75" s="283" t="s">
        <v>38</v>
      </c>
      <c r="C75" s="17"/>
      <c r="D75" s="391"/>
      <c r="E75" s="391"/>
      <c r="F75" s="391">
        <v>20.0</v>
      </c>
      <c r="G75" s="391"/>
    </row>
    <row r="78">
      <c r="B78" s="18" t="s">
        <v>60</v>
      </c>
      <c r="C78" s="17"/>
      <c r="D78" s="19" t="s">
        <v>16</v>
      </c>
      <c r="E78" s="19" t="s">
        <v>17</v>
      </c>
      <c r="F78" s="19" t="s">
        <v>18</v>
      </c>
      <c r="G78" s="19" t="s">
        <v>19</v>
      </c>
    </row>
    <row r="79">
      <c r="B79" s="390" t="s">
        <v>2256</v>
      </c>
      <c r="C79" s="16"/>
      <c r="D79" s="16"/>
      <c r="E79" s="16"/>
      <c r="F79" s="16"/>
      <c r="G79" s="17"/>
    </row>
    <row r="80">
      <c r="B80" s="200" t="s">
        <v>2257</v>
      </c>
      <c r="C80" s="17"/>
      <c r="D80" s="391" t="s">
        <v>21</v>
      </c>
      <c r="E80" s="391" t="s">
        <v>21</v>
      </c>
      <c r="F80" s="391">
        <v>1.0</v>
      </c>
      <c r="G80" s="391"/>
      <c r="H80" s="24" t="s">
        <v>2228</v>
      </c>
    </row>
    <row r="81">
      <c r="B81" s="200" t="s">
        <v>2258</v>
      </c>
      <c r="C81" s="17"/>
      <c r="D81" s="391" t="s">
        <v>87</v>
      </c>
      <c r="E81" s="391" t="s">
        <v>21</v>
      </c>
      <c r="F81" s="391">
        <v>1.0</v>
      </c>
      <c r="G81" s="391"/>
    </row>
    <row r="82">
      <c r="B82" s="200" t="s">
        <v>2252</v>
      </c>
      <c r="C82" s="17"/>
      <c r="D82" s="391" t="s">
        <v>87</v>
      </c>
      <c r="E82" s="391" t="s">
        <v>2253</v>
      </c>
      <c r="F82" s="391">
        <v>2.0</v>
      </c>
      <c r="G82" s="391"/>
    </row>
    <row r="83">
      <c r="B83" s="200" t="s">
        <v>2259</v>
      </c>
      <c r="C83" s="17"/>
      <c r="D83" s="391" t="s">
        <v>21</v>
      </c>
      <c r="E83" s="391" t="s">
        <v>21</v>
      </c>
      <c r="F83" s="391">
        <v>2.0</v>
      </c>
      <c r="G83" s="391" t="s">
        <v>2260</v>
      </c>
    </row>
    <row r="84">
      <c r="B84" s="200" t="s">
        <v>425</v>
      </c>
      <c r="C84" s="17"/>
      <c r="D84" s="391" t="s">
        <v>21</v>
      </c>
      <c r="E84" s="391" t="s">
        <v>21</v>
      </c>
      <c r="F84" s="391">
        <v>2.0</v>
      </c>
      <c r="G84" s="391" t="s">
        <v>917</v>
      </c>
    </row>
    <row r="85">
      <c r="B85" s="200" t="s">
        <v>2261</v>
      </c>
      <c r="C85" s="17"/>
      <c r="D85" s="391" t="s">
        <v>21</v>
      </c>
      <c r="E85" s="391" t="s">
        <v>21</v>
      </c>
      <c r="F85" s="391">
        <v>6.0</v>
      </c>
      <c r="G85" s="391"/>
    </row>
    <row r="86">
      <c r="B86" s="200" t="s">
        <v>310</v>
      </c>
      <c r="C86" s="17"/>
      <c r="D86" s="394" t="s">
        <v>1079</v>
      </c>
      <c r="E86" s="394" t="s">
        <v>2262</v>
      </c>
      <c r="F86" s="394">
        <v>1.0</v>
      </c>
      <c r="G86" s="394"/>
    </row>
    <row r="87">
      <c r="B87" s="200" t="s">
        <v>2249</v>
      </c>
      <c r="C87" s="17"/>
      <c r="D87" s="391" t="s">
        <v>21</v>
      </c>
      <c r="E87" s="391" t="s">
        <v>21</v>
      </c>
      <c r="F87" s="391">
        <v>1.0</v>
      </c>
      <c r="G87" s="391"/>
    </row>
    <row r="88">
      <c r="B88" s="200" t="s">
        <v>2263</v>
      </c>
      <c r="C88" s="17"/>
      <c r="D88" s="391" t="s">
        <v>21</v>
      </c>
      <c r="E88" s="391" t="s">
        <v>21</v>
      </c>
      <c r="F88" s="391">
        <v>4.0</v>
      </c>
      <c r="G88" s="391"/>
    </row>
    <row r="89">
      <c r="B89" s="283" t="s">
        <v>38</v>
      </c>
      <c r="C89" s="17"/>
      <c r="D89" s="391"/>
      <c r="E89" s="391"/>
      <c r="F89" s="391">
        <v>20.0</v>
      </c>
      <c r="G89" s="391"/>
      <c r="H89" s="24" t="s">
        <v>2228</v>
      </c>
    </row>
    <row r="90">
      <c r="D90" s="395"/>
      <c r="E90" s="395"/>
      <c r="F90" s="395"/>
      <c r="G90" s="395"/>
    </row>
    <row r="91">
      <c r="B91" s="395"/>
      <c r="D91" s="395"/>
      <c r="E91" s="395"/>
      <c r="F91" s="395"/>
      <c r="G91" s="395"/>
    </row>
    <row r="92">
      <c r="B92" s="18" t="s">
        <v>60</v>
      </c>
      <c r="C92" s="17"/>
      <c r="D92" s="19" t="s">
        <v>16</v>
      </c>
      <c r="E92" s="19" t="s">
        <v>17</v>
      </c>
      <c r="F92" s="19" t="s">
        <v>18</v>
      </c>
      <c r="G92" s="19" t="s">
        <v>19</v>
      </c>
    </row>
    <row r="93">
      <c r="B93" s="390" t="s">
        <v>2264</v>
      </c>
      <c r="C93" s="16"/>
      <c r="D93" s="16"/>
      <c r="E93" s="16"/>
      <c r="F93" s="16"/>
      <c r="G93" s="17"/>
    </row>
    <row r="94">
      <c r="B94" s="200" t="s">
        <v>2265</v>
      </c>
      <c r="C94" s="17"/>
      <c r="D94" s="391" t="s">
        <v>21</v>
      </c>
      <c r="E94" s="391" t="s">
        <v>21</v>
      </c>
      <c r="F94" s="391">
        <v>2.0</v>
      </c>
      <c r="G94" s="391"/>
    </row>
    <row r="95">
      <c r="B95" s="200" t="s">
        <v>223</v>
      </c>
      <c r="C95" s="17"/>
      <c r="D95" s="391" t="s">
        <v>21</v>
      </c>
      <c r="E95" s="391" t="s">
        <v>21</v>
      </c>
      <c r="F95" s="391">
        <v>1.0</v>
      </c>
      <c r="G95" s="391"/>
    </row>
    <row r="96">
      <c r="B96" s="200" t="s">
        <v>2266</v>
      </c>
      <c r="C96" s="17"/>
      <c r="D96" s="391" t="s">
        <v>21</v>
      </c>
      <c r="E96" s="391" t="s">
        <v>21</v>
      </c>
      <c r="F96" s="391">
        <v>3.0</v>
      </c>
      <c r="G96" s="391"/>
    </row>
    <row r="97">
      <c r="B97" s="200" t="s">
        <v>2267</v>
      </c>
      <c r="C97" s="17"/>
      <c r="D97" s="391" t="s">
        <v>21</v>
      </c>
      <c r="E97" s="391" t="s">
        <v>21</v>
      </c>
      <c r="F97" s="391">
        <v>2.0</v>
      </c>
      <c r="G97" s="391"/>
    </row>
    <row r="98">
      <c r="B98" s="200" t="s">
        <v>1500</v>
      </c>
      <c r="C98" s="17"/>
      <c r="D98" s="391" t="s">
        <v>21</v>
      </c>
      <c r="E98" s="391" t="s">
        <v>21</v>
      </c>
      <c r="F98" s="391">
        <v>1.0</v>
      </c>
      <c r="G98" s="391"/>
    </row>
    <row r="99">
      <c r="B99" s="200" t="s">
        <v>546</v>
      </c>
      <c r="C99" s="17"/>
      <c r="D99" s="391" t="s">
        <v>21</v>
      </c>
      <c r="E99" s="391" t="s">
        <v>21</v>
      </c>
      <c r="F99" s="391">
        <v>3.0</v>
      </c>
      <c r="G99" s="391"/>
    </row>
    <row r="100">
      <c r="B100" s="200" t="s">
        <v>2268</v>
      </c>
      <c r="C100" s="17"/>
      <c r="D100" s="394" t="s">
        <v>21</v>
      </c>
      <c r="E100" s="394" t="s">
        <v>21</v>
      </c>
      <c r="F100" s="394">
        <v>1.0</v>
      </c>
      <c r="G100" s="394"/>
    </row>
    <row r="101">
      <c r="B101" s="200" t="s">
        <v>2269</v>
      </c>
      <c r="C101" s="17"/>
      <c r="D101" s="391" t="s">
        <v>21</v>
      </c>
      <c r="E101" s="391" t="s">
        <v>21</v>
      </c>
      <c r="F101" s="391">
        <v>2.0</v>
      </c>
      <c r="G101" s="391"/>
    </row>
    <row r="102">
      <c r="B102" s="283" t="s">
        <v>38</v>
      </c>
      <c r="C102" s="17"/>
      <c r="D102" s="391"/>
      <c r="E102" s="391"/>
      <c r="F102" s="391">
        <v>15.0</v>
      </c>
      <c r="G102" s="391"/>
    </row>
    <row r="103">
      <c r="B103" s="398"/>
      <c r="D103" s="395"/>
      <c r="E103" s="395"/>
      <c r="F103" s="395"/>
      <c r="G103" s="395"/>
    </row>
    <row r="105">
      <c r="B105" s="18" t="s">
        <v>60</v>
      </c>
      <c r="C105" s="17"/>
      <c r="D105" s="19" t="s">
        <v>16</v>
      </c>
      <c r="E105" s="19" t="s">
        <v>17</v>
      </c>
      <c r="F105" s="19" t="s">
        <v>18</v>
      </c>
      <c r="G105" s="19" t="s">
        <v>19</v>
      </c>
    </row>
    <row r="106">
      <c r="B106" s="390" t="s">
        <v>2270</v>
      </c>
      <c r="C106" s="16"/>
      <c r="D106" s="16"/>
      <c r="E106" s="16"/>
      <c r="F106" s="16"/>
      <c r="G106" s="17"/>
    </row>
    <row r="107">
      <c r="B107" s="200" t="s">
        <v>425</v>
      </c>
      <c r="C107" s="17"/>
      <c r="D107" s="391" t="s">
        <v>21</v>
      </c>
      <c r="E107" s="391" t="s">
        <v>21</v>
      </c>
      <c r="F107" s="391">
        <v>6.0</v>
      </c>
      <c r="G107" s="391"/>
    </row>
    <row r="108">
      <c r="B108" s="200" t="s">
        <v>2271</v>
      </c>
      <c r="C108" s="17"/>
      <c r="D108" s="391" t="s">
        <v>21</v>
      </c>
      <c r="E108" s="391" t="s">
        <v>21</v>
      </c>
      <c r="F108" s="391">
        <v>1.0</v>
      </c>
      <c r="G108" s="391"/>
    </row>
    <row r="109">
      <c r="B109" s="200" t="s">
        <v>1234</v>
      </c>
      <c r="C109" s="17"/>
      <c r="D109" s="391" t="s">
        <v>21</v>
      </c>
      <c r="E109" s="391" t="s">
        <v>21</v>
      </c>
      <c r="F109" s="391">
        <v>3.0</v>
      </c>
      <c r="G109" s="391"/>
    </row>
    <row r="110">
      <c r="B110" s="200" t="s">
        <v>2227</v>
      </c>
      <c r="C110" s="17"/>
      <c r="D110" s="391" t="s">
        <v>21</v>
      </c>
      <c r="E110" s="391" t="s">
        <v>21</v>
      </c>
      <c r="F110" s="391">
        <v>1.0</v>
      </c>
      <c r="G110" s="391"/>
    </row>
    <row r="111">
      <c r="B111" s="200" t="s">
        <v>2272</v>
      </c>
      <c r="C111" s="17"/>
      <c r="D111" s="391" t="s">
        <v>21</v>
      </c>
      <c r="E111" s="391" t="s">
        <v>21</v>
      </c>
      <c r="F111" s="391">
        <v>1.0</v>
      </c>
      <c r="G111" s="391" t="s">
        <v>917</v>
      </c>
    </row>
    <row r="112">
      <c r="B112" s="200" t="s">
        <v>2273</v>
      </c>
      <c r="C112" s="17"/>
      <c r="D112" s="391" t="s">
        <v>21</v>
      </c>
      <c r="E112" s="391" t="s">
        <v>21</v>
      </c>
      <c r="F112" s="391">
        <v>1.0</v>
      </c>
      <c r="G112" s="391"/>
    </row>
    <row r="113">
      <c r="B113" s="283" t="s">
        <v>38</v>
      </c>
      <c r="C113" s="17"/>
      <c r="D113" s="391"/>
      <c r="E113" s="391"/>
      <c r="F113" s="391">
        <v>13.0</v>
      </c>
      <c r="G113" s="391"/>
    </row>
    <row r="114">
      <c r="B114" s="395"/>
      <c r="D114" s="395"/>
      <c r="E114" s="395"/>
      <c r="F114" s="395"/>
      <c r="G114" s="395"/>
    </row>
    <row r="115">
      <c r="B115" s="395"/>
      <c r="D115" s="395"/>
      <c r="E115" s="395"/>
      <c r="F115" s="395"/>
      <c r="G115" s="395"/>
    </row>
    <row r="116">
      <c r="B116" s="18" t="s">
        <v>60</v>
      </c>
      <c r="C116" s="17"/>
      <c r="D116" s="19" t="s">
        <v>16</v>
      </c>
      <c r="E116" s="19" t="s">
        <v>17</v>
      </c>
      <c r="F116" s="19" t="s">
        <v>18</v>
      </c>
      <c r="G116" s="19" t="s">
        <v>19</v>
      </c>
    </row>
    <row r="117">
      <c r="B117" s="390" t="s">
        <v>2274</v>
      </c>
      <c r="C117" s="16"/>
      <c r="D117" s="16"/>
      <c r="E117" s="16"/>
      <c r="F117" s="16"/>
      <c r="G117" s="17"/>
    </row>
    <row r="118">
      <c r="B118" s="200" t="s">
        <v>254</v>
      </c>
      <c r="C118" s="17"/>
      <c r="D118" s="391" t="s">
        <v>21</v>
      </c>
      <c r="E118" s="391" t="s">
        <v>21</v>
      </c>
      <c r="F118" s="391">
        <v>8.0</v>
      </c>
      <c r="G118" s="391"/>
    </row>
    <row r="119">
      <c r="B119" s="200" t="s">
        <v>38</v>
      </c>
      <c r="C119" s="17"/>
      <c r="D119" s="391"/>
      <c r="E119" s="391"/>
      <c r="F119" s="391">
        <v>8.0</v>
      </c>
      <c r="G119" s="391"/>
    </row>
    <row r="120">
      <c r="B120" s="395"/>
      <c r="D120" s="395"/>
      <c r="E120" s="395"/>
      <c r="F120" s="395"/>
      <c r="G120" s="395"/>
    </row>
    <row r="121">
      <c r="B121" s="395"/>
      <c r="D121" s="395"/>
      <c r="E121" s="395"/>
      <c r="F121" s="395"/>
      <c r="G121" s="395"/>
    </row>
    <row r="122">
      <c r="B122" s="18" t="s">
        <v>60</v>
      </c>
      <c r="C122" s="17"/>
      <c r="D122" s="19" t="s">
        <v>16</v>
      </c>
      <c r="E122" s="19" t="s">
        <v>17</v>
      </c>
      <c r="F122" s="19" t="s">
        <v>18</v>
      </c>
      <c r="G122" s="19" t="s">
        <v>19</v>
      </c>
    </row>
    <row r="123">
      <c r="B123" s="390" t="s">
        <v>2275</v>
      </c>
      <c r="C123" s="16"/>
      <c r="D123" s="16"/>
      <c r="E123" s="16"/>
      <c r="F123" s="16"/>
      <c r="G123" s="17"/>
    </row>
    <row r="124">
      <c r="B124" s="200" t="s">
        <v>227</v>
      </c>
      <c r="C124" s="17"/>
      <c r="D124" s="391" t="s">
        <v>21</v>
      </c>
      <c r="E124" s="391" t="s">
        <v>21</v>
      </c>
      <c r="F124" s="391">
        <v>1.0</v>
      </c>
      <c r="G124" s="391"/>
    </row>
    <row r="125">
      <c r="B125" s="200" t="s">
        <v>2276</v>
      </c>
      <c r="C125" s="17"/>
      <c r="D125" s="391" t="s">
        <v>87</v>
      </c>
      <c r="E125" s="391" t="s">
        <v>523</v>
      </c>
      <c r="F125" s="391">
        <v>1.0</v>
      </c>
      <c r="G125" s="391"/>
    </row>
    <row r="126">
      <c r="B126" s="200" t="s">
        <v>2277</v>
      </c>
      <c r="C126" s="17"/>
      <c r="D126" s="391" t="s">
        <v>21</v>
      </c>
      <c r="E126" s="391" t="s">
        <v>21</v>
      </c>
      <c r="F126" s="391">
        <v>2.0</v>
      </c>
      <c r="G126" s="391"/>
    </row>
    <row r="127">
      <c r="B127" s="200" t="s">
        <v>2252</v>
      </c>
      <c r="C127" s="17"/>
      <c r="D127" s="391" t="s">
        <v>87</v>
      </c>
      <c r="E127" s="391" t="s">
        <v>523</v>
      </c>
      <c r="F127" s="391">
        <v>2.0</v>
      </c>
      <c r="G127" s="391"/>
    </row>
    <row r="128">
      <c r="B128" s="200" t="s">
        <v>2278</v>
      </c>
      <c r="C128" s="17"/>
      <c r="D128" s="391" t="s">
        <v>197</v>
      </c>
      <c r="E128" s="391" t="s">
        <v>2279</v>
      </c>
      <c r="F128" s="391">
        <v>1.0</v>
      </c>
      <c r="G128" s="391"/>
    </row>
    <row r="129">
      <c r="B129" s="283" t="s">
        <v>38</v>
      </c>
      <c r="C129" s="17"/>
      <c r="D129" s="391"/>
      <c r="E129" s="391"/>
      <c r="F129" s="391">
        <v>7.0</v>
      </c>
      <c r="G129" s="391"/>
    </row>
    <row r="130">
      <c r="B130" s="395"/>
      <c r="D130" s="395"/>
      <c r="E130" s="395"/>
      <c r="F130" s="395"/>
      <c r="G130" s="395"/>
    </row>
    <row r="131">
      <c r="B131" s="395"/>
      <c r="D131" s="395"/>
      <c r="E131" s="395"/>
      <c r="F131" s="395"/>
      <c r="G131" s="395"/>
    </row>
    <row r="132">
      <c r="B132" s="18" t="s">
        <v>60</v>
      </c>
      <c r="C132" s="17"/>
      <c r="D132" s="19" t="s">
        <v>16</v>
      </c>
      <c r="E132" s="19" t="s">
        <v>17</v>
      </c>
      <c r="F132" s="19" t="s">
        <v>18</v>
      </c>
      <c r="G132" s="19" t="s">
        <v>19</v>
      </c>
    </row>
    <row r="133">
      <c r="B133" s="390" t="s">
        <v>2280</v>
      </c>
      <c r="C133" s="16"/>
      <c r="D133" s="16"/>
      <c r="E133" s="16"/>
      <c r="F133" s="16"/>
      <c r="G133" s="17"/>
    </row>
    <row r="134">
      <c r="B134" s="200" t="s">
        <v>1504</v>
      </c>
      <c r="C134" s="17"/>
      <c r="D134" s="391" t="s">
        <v>21</v>
      </c>
      <c r="E134" s="391" t="s">
        <v>21</v>
      </c>
      <c r="F134" s="391">
        <v>1.0</v>
      </c>
      <c r="G134" s="391"/>
    </row>
    <row r="135">
      <c r="B135" s="200" t="s">
        <v>1651</v>
      </c>
      <c r="C135" s="17"/>
      <c r="D135" s="391" t="s">
        <v>87</v>
      </c>
      <c r="E135" s="391" t="s">
        <v>21</v>
      </c>
      <c r="F135" s="391">
        <v>1.0</v>
      </c>
      <c r="G135" s="391"/>
    </row>
    <row r="136">
      <c r="B136" s="200" t="s">
        <v>2276</v>
      </c>
      <c r="C136" s="17"/>
      <c r="D136" s="391" t="s">
        <v>87</v>
      </c>
      <c r="E136" s="391" t="s">
        <v>2253</v>
      </c>
      <c r="F136" s="391">
        <v>1.0</v>
      </c>
      <c r="G136" s="391"/>
    </row>
    <row r="137">
      <c r="B137" s="200" t="s">
        <v>367</v>
      </c>
      <c r="C137" s="17"/>
      <c r="D137" s="391" t="s">
        <v>21</v>
      </c>
      <c r="E137" s="391" t="s">
        <v>21</v>
      </c>
      <c r="F137" s="391">
        <v>1.0</v>
      </c>
      <c r="G137" s="391"/>
    </row>
    <row r="138">
      <c r="B138" s="200" t="s">
        <v>2281</v>
      </c>
      <c r="C138" s="17"/>
      <c r="D138" s="391" t="s">
        <v>21</v>
      </c>
      <c r="E138" s="391" t="s">
        <v>21</v>
      </c>
      <c r="F138" s="391">
        <v>1.0</v>
      </c>
      <c r="G138" s="391"/>
    </row>
    <row r="139">
      <c r="B139" s="200" t="s">
        <v>2282</v>
      </c>
      <c r="C139" s="17"/>
      <c r="D139" s="391" t="s">
        <v>21</v>
      </c>
      <c r="E139" s="391" t="s">
        <v>21</v>
      </c>
      <c r="F139" s="391">
        <v>1.0</v>
      </c>
      <c r="G139" s="391"/>
    </row>
    <row r="140">
      <c r="B140" s="200" t="s">
        <v>2283</v>
      </c>
      <c r="C140" s="17"/>
      <c r="D140" s="394"/>
      <c r="E140" s="394">
        <v>4394205.0</v>
      </c>
      <c r="F140" s="394">
        <v>1.0</v>
      </c>
      <c r="G140" s="394"/>
    </row>
    <row r="141">
      <c r="B141" s="200" t="s">
        <v>524</v>
      </c>
      <c r="C141" s="17"/>
      <c r="D141" s="391" t="s">
        <v>21</v>
      </c>
      <c r="E141" s="391" t="s">
        <v>21</v>
      </c>
      <c r="F141" s="391">
        <v>1.0</v>
      </c>
      <c r="G141" s="391"/>
    </row>
    <row r="142">
      <c r="B142" s="200" t="s">
        <v>2284</v>
      </c>
      <c r="C142" s="17"/>
      <c r="D142" s="391" t="s">
        <v>21</v>
      </c>
      <c r="E142" s="391" t="s">
        <v>21</v>
      </c>
      <c r="F142" s="391">
        <v>1.0</v>
      </c>
      <c r="G142" s="391"/>
    </row>
    <row r="143">
      <c r="B143" s="200" t="s">
        <v>151</v>
      </c>
      <c r="C143" s="17"/>
      <c r="D143" s="391" t="s">
        <v>21</v>
      </c>
      <c r="E143" s="391" t="s">
        <v>21</v>
      </c>
      <c r="F143" s="391">
        <v>1.0</v>
      </c>
      <c r="G143" s="391"/>
    </row>
    <row r="144">
      <c r="B144" s="200" t="s">
        <v>1615</v>
      </c>
      <c r="C144" s="17"/>
      <c r="D144" s="391" t="s">
        <v>21</v>
      </c>
      <c r="E144" s="391" t="s">
        <v>21</v>
      </c>
      <c r="F144" s="391">
        <v>1.0</v>
      </c>
      <c r="G144" s="391"/>
    </row>
    <row r="145">
      <c r="B145" s="200" t="s">
        <v>2285</v>
      </c>
      <c r="C145" s="17"/>
      <c r="D145" s="391" t="s">
        <v>21</v>
      </c>
      <c r="E145" s="391" t="s">
        <v>21</v>
      </c>
      <c r="F145" s="391">
        <v>1.0</v>
      </c>
      <c r="G145" s="391"/>
    </row>
    <row r="146">
      <c r="B146" s="200" t="s">
        <v>1258</v>
      </c>
      <c r="C146" s="17"/>
      <c r="D146" s="391" t="s">
        <v>21</v>
      </c>
      <c r="E146" s="391" t="s">
        <v>21</v>
      </c>
      <c r="F146" s="391">
        <v>1.0</v>
      </c>
      <c r="G146" s="391"/>
    </row>
    <row r="147">
      <c r="B147" s="200" t="s">
        <v>227</v>
      </c>
      <c r="C147" s="17"/>
      <c r="D147" s="391" t="s">
        <v>21</v>
      </c>
      <c r="E147" s="391" t="s">
        <v>21</v>
      </c>
      <c r="F147" s="391">
        <v>1.0</v>
      </c>
      <c r="G147" s="391"/>
    </row>
    <row r="148">
      <c r="B148" s="283" t="s">
        <v>38</v>
      </c>
      <c r="C148" s="17"/>
      <c r="D148" s="391"/>
      <c r="E148" s="391"/>
      <c r="F148" s="391">
        <v>14.0</v>
      </c>
      <c r="G148" s="391"/>
    </row>
    <row r="151">
      <c r="B151" s="18" t="s">
        <v>60</v>
      </c>
      <c r="C151" s="17"/>
      <c r="D151" s="19" t="s">
        <v>16</v>
      </c>
      <c r="E151" s="19" t="s">
        <v>17</v>
      </c>
      <c r="F151" s="19" t="s">
        <v>18</v>
      </c>
      <c r="G151" s="19" t="s">
        <v>19</v>
      </c>
    </row>
    <row r="152">
      <c r="B152" s="390" t="s">
        <v>2286</v>
      </c>
      <c r="C152" s="16"/>
      <c r="D152" s="16"/>
      <c r="E152" s="16"/>
      <c r="F152" s="16"/>
      <c r="G152" s="17"/>
    </row>
    <row r="153">
      <c r="B153" s="200" t="s">
        <v>2230</v>
      </c>
      <c r="C153" s="17"/>
      <c r="D153" s="391" t="s">
        <v>21</v>
      </c>
      <c r="E153" s="391" t="s">
        <v>21</v>
      </c>
      <c r="F153" s="391">
        <v>1.0</v>
      </c>
      <c r="G153" s="391"/>
    </row>
    <row r="154">
      <c r="B154" s="200" t="s">
        <v>1325</v>
      </c>
      <c r="C154" s="17"/>
      <c r="D154" s="391" t="s">
        <v>21</v>
      </c>
      <c r="E154" s="391" t="s">
        <v>21</v>
      </c>
      <c r="F154" s="391">
        <v>1.0</v>
      </c>
      <c r="G154" s="391"/>
    </row>
    <row r="155">
      <c r="B155" s="200" t="s">
        <v>572</v>
      </c>
      <c r="C155" s="17"/>
      <c r="D155" s="391" t="s">
        <v>21</v>
      </c>
      <c r="E155" s="391" t="s">
        <v>21</v>
      </c>
      <c r="F155" s="391">
        <v>1.0</v>
      </c>
      <c r="G155" s="391"/>
    </row>
    <row r="156">
      <c r="B156" s="200" t="s">
        <v>1129</v>
      </c>
      <c r="C156" s="17"/>
      <c r="D156" s="391" t="s">
        <v>21</v>
      </c>
      <c r="E156" s="391" t="s">
        <v>21</v>
      </c>
      <c r="F156" s="391">
        <v>1.0</v>
      </c>
      <c r="G156" s="391"/>
    </row>
    <row r="157">
      <c r="B157" s="200" t="s">
        <v>138</v>
      </c>
      <c r="C157" s="17"/>
      <c r="D157" s="391" t="s">
        <v>21</v>
      </c>
      <c r="E157" s="391" t="s">
        <v>21</v>
      </c>
      <c r="F157" s="391">
        <v>1.0</v>
      </c>
      <c r="G157" s="391"/>
    </row>
    <row r="158">
      <c r="B158" s="283" t="s">
        <v>38</v>
      </c>
      <c r="C158" s="17"/>
      <c r="D158" s="391"/>
      <c r="E158" s="391"/>
      <c r="F158" s="391">
        <v>5.0</v>
      </c>
      <c r="G158" s="391"/>
    </row>
    <row r="202">
      <c r="B202" s="395"/>
      <c r="D202" s="395"/>
      <c r="E202" s="395"/>
      <c r="F202" s="395"/>
      <c r="G202" s="395"/>
    </row>
    <row r="203">
      <c r="B203" s="395"/>
      <c r="D203" s="395"/>
      <c r="E203" s="395"/>
      <c r="F203" s="395"/>
      <c r="G203" s="395"/>
    </row>
    <row r="204">
      <c r="B204" s="395"/>
      <c r="D204" s="395"/>
      <c r="E204" s="395"/>
      <c r="F204" s="395"/>
      <c r="G204" s="395"/>
    </row>
    <row r="205">
      <c r="B205" s="398"/>
      <c r="D205" s="395"/>
      <c r="E205" s="395"/>
      <c r="F205" s="395"/>
      <c r="G205" s="395"/>
    </row>
  </sheetData>
  <mergeCells count="191">
    <mergeCell ref="L37:M37"/>
    <mergeCell ref="L38:M38"/>
    <mergeCell ref="L39:M39"/>
    <mergeCell ref="L40:M40"/>
    <mergeCell ref="L30:M30"/>
    <mergeCell ref="L31:M31"/>
    <mergeCell ref="L32:M32"/>
    <mergeCell ref="L33:M33"/>
    <mergeCell ref="L34:M34"/>
    <mergeCell ref="L35:M35"/>
    <mergeCell ref="L36:M36"/>
    <mergeCell ref="L4:M4"/>
    <mergeCell ref="L5:M5"/>
    <mergeCell ref="L1:Q1"/>
    <mergeCell ref="B2:C2"/>
    <mergeCell ref="B3:G3"/>
    <mergeCell ref="L3:Q3"/>
    <mergeCell ref="B4:C4"/>
    <mergeCell ref="B5:C5"/>
    <mergeCell ref="B6:C6"/>
    <mergeCell ref="B7:C7"/>
    <mergeCell ref="L7:M7"/>
    <mergeCell ref="B8:C8"/>
    <mergeCell ref="L8:M8"/>
    <mergeCell ref="B9:C9"/>
    <mergeCell ref="L9:M9"/>
    <mergeCell ref="L10:M10"/>
    <mergeCell ref="L2:M2"/>
    <mergeCell ref="L6:M6"/>
    <mergeCell ref="L11:M11"/>
    <mergeCell ref="L12:M12"/>
    <mergeCell ref="L13:M13"/>
    <mergeCell ref="L14:M14"/>
    <mergeCell ref="L15:M15"/>
    <mergeCell ref="B10:C10"/>
    <mergeCell ref="B11:C11"/>
    <mergeCell ref="B12:C12"/>
    <mergeCell ref="B13:C13"/>
    <mergeCell ref="B14:C14"/>
    <mergeCell ref="B15:C15"/>
    <mergeCell ref="B16:C16"/>
    <mergeCell ref="L16:M16"/>
    <mergeCell ref="L17:M17"/>
    <mergeCell ref="L18:M18"/>
    <mergeCell ref="L19:M19"/>
    <mergeCell ref="L20:M20"/>
    <mergeCell ref="L21:Q21"/>
    <mergeCell ref="L22:M22"/>
    <mergeCell ref="L23:M23"/>
    <mergeCell ref="L24:M24"/>
    <mergeCell ref="L25:M25"/>
    <mergeCell ref="L26:M26"/>
    <mergeCell ref="L27:M27"/>
    <mergeCell ref="L28:M28"/>
    <mergeCell ref="L29:M29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6:C56"/>
    <mergeCell ref="B57:C57"/>
    <mergeCell ref="B58:C58"/>
    <mergeCell ref="B59:G59"/>
    <mergeCell ref="B60:C60"/>
    <mergeCell ref="B61:C61"/>
    <mergeCell ref="B63:C63"/>
    <mergeCell ref="B64:C64"/>
    <mergeCell ref="B65:C65"/>
    <mergeCell ref="B66:C66"/>
    <mergeCell ref="B67:C67"/>
    <mergeCell ref="B68:C68"/>
    <mergeCell ref="B69:C69"/>
    <mergeCell ref="B116:C116"/>
    <mergeCell ref="B117:G117"/>
    <mergeCell ref="B118:C118"/>
    <mergeCell ref="B119:C119"/>
    <mergeCell ref="B120:C120"/>
    <mergeCell ref="B121:C121"/>
    <mergeCell ref="B122:C122"/>
    <mergeCell ref="B123:G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58:C158"/>
    <mergeCell ref="B202:C202"/>
    <mergeCell ref="B203:C203"/>
    <mergeCell ref="B204:C204"/>
    <mergeCell ref="B205:C205"/>
    <mergeCell ref="B148:C148"/>
    <mergeCell ref="B151:C151"/>
    <mergeCell ref="B153:C153"/>
    <mergeCell ref="B154:C154"/>
    <mergeCell ref="B155:C155"/>
    <mergeCell ref="B156:C156"/>
    <mergeCell ref="B157:C157"/>
    <mergeCell ref="B70:C70"/>
    <mergeCell ref="B71:C71"/>
    <mergeCell ref="B72:C72"/>
    <mergeCell ref="B73:C73"/>
    <mergeCell ref="B74:C74"/>
    <mergeCell ref="B75:C75"/>
    <mergeCell ref="B79:G79"/>
    <mergeCell ref="B78:C78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1:C91"/>
    <mergeCell ref="B92:C92"/>
    <mergeCell ref="B93:G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5:C105"/>
    <mergeCell ref="B106:G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32:C132"/>
    <mergeCell ref="B133:G133"/>
    <mergeCell ref="B152:G15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2022-11-27T12:29:35Z</dcterms:created>
  <dc:creator>QX-2</dc:creator>
</cp:coreProperties>
</file>